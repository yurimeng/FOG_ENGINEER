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澄清答疑文件" sheetId="1" state="visible" r:id="rId3"/>
    <sheet name="设备材料清单" sheetId="2" state="visible" r:id="rId4"/>
    <sheet name="随附图纸与文件清单" sheetId="3" state="visible" r:id="rId5"/>
  </sheets>
  <definedNames>
    <definedName function="false" hidden="false" localSheetId="0" name="_xlnm.Print_Titles" vbProcedure="false">澄清答疑文件!$2:$2</definedName>
    <definedName function="false" hidden="false" localSheetId="1" name="_xlnm.Print_Titles" vbProcedure="false">设备材料清单!$4:$4</definedName>
    <definedName function="false" hidden="false" localSheetId="2" name="_xlnm.Print_Titles" vbProcedure="false">随附图纸与文件清单!$4:$4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<sst xmlns="http://schemas.openxmlformats.org/spreadsheetml/2006/main" count="484" uniqueCount="342">
  <si>
    <r>
      <rPr>
        <b val="true"/>
        <sz val="13"/>
        <color rgb="FF1F3864"/>
        <rFont val="Noto Sans CJK SC"/>
        <family val="2"/>
      </rPr>
      <t xml:space="preserve">嘉实多</t>
    </r>
    <r>
      <rPr>
        <b val="true"/>
        <sz val="13"/>
        <color rgb="FF1F3864"/>
        <rFont val="微软雅黑"/>
        <family val="0"/>
        <charset val="1"/>
      </rPr>
      <t xml:space="preserve">-MDCX-DC45-1.8 MW </t>
    </r>
    <r>
      <rPr>
        <b val="true"/>
        <sz val="13"/>
        <color rgb="FF1F3864"/>
        <rFont val="Noto Sans CJK SC"/>
        <family val="2"/>
      </rPr>
      <t xml:space="preserve">模块化数据中心 上部管路系统项目 — 澄清答疑响应文件（</t>
    </r>
    <r>
      <rPr>
        <b val="true"/>
        <sz val="13"/>
        <color rgb="FF1F3864"/>
        <rFont val="微软雅黑"/>
        <family val="0"/>
        <charset val="1"/>
      </rPr>
      <t xml:space="preserve">MDCX </t>
    </r>
    <r>
      <rPr>
        <b val="true"/>
        <sz val="13"/>
        <color rgb="FF1F3864"/>
        <rFont val="Noto Sans CJK SC"/>
        <family val="2"/>
      </rPr>
      <t xml:space="preserve">答复）</t>
    </r>
  </si>
  <si>
    <t xml:space="preserve">序号</t>
  </si>
  <si>
    <t xml:space="preserve">提疑日期</t>
  </si>
  <si>
    <t xml:space="preserve">项目名称</t>
  </si>
  <si>
    <t xml:space="preserve">招标文件名</t>
  </si>
  <si>
    <t xml:space="preserve">原文</t>
  </si>
  <si>
    <t xml:space="preserve">答疑问题描述</t>
  </si>
  <si>
    <t xml:space="preserve">我方答复（MDCX）</t>
  </si>
  <si>
    <t xml:space="preserve">备注 / 附件</t>
  </si>
  <si>
    <t xml:space="preserve">管路图纸</t>
  </si>
  <si>
    <t xml:space="preserve">DC45_TopAddon_Piping_RFI_GA(1)</t>
  </si>
  <si>
    <t xml:space="preserve">请提供CAD版本的详细图纸，或者PDF版本的清晰的图纸。</t>
  </si>
  <si>
    <t xml:space="preserve">【已提供 Rev.1 全套图纸，原 Rev.0 单张 GA 图作废】
随本表提交《DC45 上部模块管路系统 总布置图 Rev.1》，共 8 张 A1，同时提供两种格式：
① CAD：8 个单张 DXF 文件（AutoCAD R2010 格式，按 PIPE-PRI / PIPE-HT / PIPE-LT / VALVE / FLANGE / DECK-QC / SUPPORT / STEEL / TAG / INSTRUMENT 等分层，可直接放大与量取）；
② PDF：8 页合订矢量 PDF（A1 幅面，可无损放大打印）。
图纸目录：
GA-01～03　管路舱平面图 / 立面图（分 3 段，1:8）
GA-04　典型断面 A-A（DLC 下引）/ B-B（CW 下引）/ C-C（CDU 接入），1:5
GA-05　典型断面 D-D（LT 总管隔离阀）/ E-E（LT 旁通止回）+ 管道表 + 阀门表，1:5
GA-06　支吊架详图（一次侧吊架 / HT 落地支架 / LT 落地支架），1:2.5
GA-07　甲板开孔与穿甲板快接法兰定位图 1:20 + 42 只法兰坐标表
GA-08　阀门操作面立面 1:20 + 阀牌详图 1:2 + 图例与图纸说明
另附 STEP AP214 装配体（662 实体，带装配树与颜色）与 Blender 模型。
※ 几何以 STEP 文件为最终判据；如图纸与 STEP 不一致，以 STEP 为准并请书面提报我方。</t>
  </si>
  <si>
    <t xml:space="preserve">附 GA-01～08（DXF + PDF）</t>
  </si>
  <si>
    <t xml:space="preserve">DC45_TopAddon_Piping_RFI_GA</t>
  </si>
  <si>
    <t xml:space="preserve">同上</t>
  </si>
  <si>
    <t xml:space="preserve">设备清单</t>
  </si>
  <si>
    <r>
      <rPr>
        <sz val="10"/>
        <color rgb="FF000000"/>
        <rFont val="微软雅黑"/>
        <family val="0"/>
        <charset val="134"/>
      </rPr>
      <t xml:space="preserve">RFI-PIP-001_DC45_TopAddon_</t>
    </r>
    <r>
      <rPr>
        <sz val="10"/>
        <color rgb="FF000000"/>
        <rFont val="Noto Sans CJK SC"/>
        <family val="2"/>
      </rPr>
      <t xml:space="preserve">管路系统询价</t>
    </r>
    <r>
      <rPr>
        <sz val="10"/>
        <color rgb="FF000000"/>
        <rFont val="微软雅黑"/>
        <family val="0"/>
        <charset val="134"/>
      </rPr>
      <t xml:space="preserve">_Rev0</t>
    </r>
  </si>
  <si>
    <t xml:space="preserve">请确认是否有整合的设备清单以及招标清单要求。此招标文件的描述比较笼统，无法按照实际的规格需求来生成设备清单。</t>
  </si>
  <si>
    <t xml:space="preserve">【已提供整合清单】随本表附《设备/材料清单（询价用）》工作表，按 A～J 分项列出位号、名称、规格与包络尺寸、材质要求、数量、单位，并逐行给出对应图号，与三维模型 502 件一致。
关于"招标清单要求"，本次为 RFI（技术方案 + 预算报价）阶段，我方口径如下：
1. 清单中我方只给出【配置口径与技术要求】，不填任何金额；「厂家建议」「单价」「合价」三列请贵司填报。
2. 我方给出的是模型实测的【几何外径与包络尺寸】。壁厚、材质牌号、压力等级、法兰标准、品牌型号由贵司按清单中列明的设计工况（详见 RFI-PIP-001 §4.3）提出建议值，填入「厂家建议」列；若建议调整管径，请在该列书面说明理由。
3. 阀体、手轮、表组为包络示意，实际结构由贵司按选型确定，但【外形包络不得超出清单与图纸给定尺寸】；如选型超出，请在报价阶段书面提出并给出替代布置方案。
4. 若贵司选型导致件数或分项发生变化，请以【增行】方式在清单中说明，不要修改原有行。
5. 绝热按【含 / 不含】两个方案单独报价；一次侧按【不锈钢】与【碳钢内外防腐】两个方案分别报价。
【勘误】RFI-PIP-001 Rev.0 §4.2 管道表中 HT-S / HT-R 外径写为 OD104 有误，经三维模型复核应为【OD134（DN125）】，直管段 CL 分别为 EL.+3227 / +3411、y=−9457，两端蛇形过渡后下接 CDU 二次侧穿甲板法兰。本响应文件的清单与 GA-05 管道表已按 OD134 更正，请以本文件为准。</t>
  </si>
  <si>
    <t xml:space="preserve">见「设备材料清单」表</t>
  </si>
  <si>
    <t xml:space="preserve">请确认供货范围以及安装方式，</t>
  </si>
  <si>
    <t xml:space="preserve">【供货范围】管路舱内的全部管路系统（清单 A～J 分项），含：一次侧 DN150 供/回总管及快接接头、二次侧 HT（DLC）盘管、二次侧 LT（CW）总管、设备下引支管 40 支、阀门 45 件、阀门操作件 40 套、穿甲板快接法兰 40 只、阀门标牌 40 块 + 标牌梁 1 根、支吊架 24 付，以及全部密封件、紧固件、防松件、色标标识与随机备件。
【供货边界】
· 上界面：止于管路舱内的一次侧快接接头（4 只 / 2 对）与 LT 快接接头（4 只 / 2 对）；接头以外至冷源（Hybrid Chiller）的站侧管路不在范围。
· 下界面：止于穿甲板快接法兰的【下法兰面 EL.+2938】；法兰面以下（算力仓内）的软管与设备接口不在范围。
【不在范围】上部模块结构框架 / 甲板 / 围护板 / 检修口；CDU、列间空调、DLC 机柜、Manifold 等设备本体；消防管路及消防甲板快接法兰（模型中 2 只 Ø146 仅为占位，by others）；电力舱母线与插接开关（另见 RFI-BUS-001）。
【安装方式】
1. 厂内预制成套 → 组对、焊接、试压、清洗 → 【整体预装配】→【整体发货】。不接受散件到场拼装；确需分段须在技术方案阶段书面提出分段界面与配对编号，且分段界面不得设在阀门、快接接头或穿甲板法兰处。
2. 到货地点：浙江嘉兴海盐 世赫 3# 厂房（算力集装箱总装与联调基地）。行吊上限 20 t。
3. 现场作业：在上部模块内就位 → 与舱体结构生根（吊架生根 EL.+4216，落地支架生根甲板面）→ 与穿甲板法兰、快接接头对接 → 复压 / 气密 → 冲洗与清洁度复检 → 阀门功能与手轮可达性复核 → 42 只（供货 40 只）底板连接件对接试验 → 配合模块级联调。
4. 【厂房内不动火】：所有现场连接必须为机械连接（法兰 / 快接 / 卡箍），不接受现场焊接。
5. 贵司须派驻技术人员现场配合安装与测试，直至通过我方出厂联调；报价须单列人数与专业、每台模块人天数、到场响应时间、是否含差旅食宿工具耗材、首台与批量阶段的服务强度差异。</t>
  </si>
  <si>
    <t xml:space="preserve">见 RFI-PIP-001 §2、§8</t>
  </si>
  <si>
    <t xml:space="preserve">请提供管路舱的具体详细图纸。</t>
  </si>
  <si>
    <t xml:space="preserve">【已提供】管路舱详图见本次 Rev.1 图纸，重点为：
· GA-04 / GA-05：典型断面 1:5，含下引单元、阀门、阀杆延长、手轮、穿甲板法兰的逐件构造与标高；
· GA-06：支吊架详图 1:2.5，含吊杆、管夹、立柱、底板尺寸；
· GA-07：甲板开孔与穿甲板法兰定位 1:20，附 42 只法兰的位号 / 外径 / 高度 / X / Y 坐标表；
· GA-08：操作面立面与阀牌详图。
【管路舱几何边界（硬约束）】
· 坐标包络：X 11…13706；Y −9875…−8819（【舱内净宽 1056】）；Z +2938…+4216（【净高 1278】）。
· 甲板面 / 穿甲板法兰面 EL.+2938（刚性界面，不得浮动）；舱顶结构面 EL.+4216（吊杆生根面）。
· 管路舱与电力舱以独立舱壁分隔，管路系统【不得穿越电力舱】。
· 管路舱【仅可自下方检修口进入】，阀门操作与更换均在操作面一侧完成。
· 上部模块随箱体运输，全部管路必须在模块内自持，运输中不依赖箱体外部支撑。
另附 STEP AP214 装配体与 Blender 模型，可直接量取任意尺寸。</t>
  </si>
  <si>
    <t xml:space="preserve">见 GA-04～GA-08 + STEP</t>
  </si>
  <si>
    <t xml:space="preserve">请确认是落地安装还是吊装。如果是吊装请确认吊装配件的材质。</t>
  </si>
  <si>
    <t xml:space="preserve">【两者都有，按回路区分】
一、一次侧 DN150 供 / 回总管：【吊装】
· 位号 HGR-PRI，共 10 付（供 / 回各 5 付）。
· 吊杆 Ø18（M16），自【舱顶结构面 EL.+4216】生根，有效长度约 498；不允许悬空生根。
· 管夹 Ø215 × 宽 45（抱 OD168.3 管）；吊耳 46×82×50；螺母 30×30×24。
· 跨距 2810，首付 x=1237（x 位置 1237 / 4047 / 6858 / 9669 / 12479）。
二、二次侧 HT（DLC）蛇形盘管：【落地支架】
· 位号 STD-HT，共 6 付。立柱 60×60×396 方管 + 底板 120×120×10 + 双臂 60×30，托 OD104。
· 底板生根【甲板面 EL.+2938】，柱顶 EL.+3344。x：1115 / 3150 / 5070 / 7150 / 9150 / 11070。
三、二次侧 LT（CW）总管：【落地支架】
· 位号 STD-LT，共 8 付。立柱 60×60×451 + 底板 120×120×10 + 双臂 60×30，托 OD114.3。
· 底板生根 EL.+2945，柱顶 EL.+3406。x：1200 / 2392 / 4100 / 5971 / 7804 / 9571 / 11250 / 13200。
合计【24 付】，全部由贵司成套供货并在厂内预制到位，不得现场自配。
【吊装配件与支架材质要求】
1. 吊杆、螺母、垫圈、防松件：A2-70 或 A4-70 不锈钢；吊杆须设双螺母或等效防松结构。
2. 管夹、吊耳、立柱、底板：与不锈钢管路接触部位须为 SS304 / SS316L；或采用碳钢热浸镀锌 + 非金属隔离衬垫（衬垫材质须报审）。
3. 【严禁】铝、镀锌件直接接触二次侧管路；【严禁】铜及铜合金。与不锈钢接触处必须做电偶腐蚀隔离。
4. 支吊架须按【运输工况】校核（非仅按静载），并提交校核报告与加速度取值假设。
5. 全部生根点位置以 3D / STEP 模型为准，不得更改；生根件与舱体结构的连接方式须报我方确认。
详见图纸 GA-06。</t>
  </si>
  <si>
    <t xml:space="preserve">见 GA-06</t>
  </si>
  <si>
    <t xml:space="preserve">请确认这个数量40支的意思，另外设备下引支管是什么材质的，是否需要配备法兰连接？</t>
  </si>
  <si>
    <t xml:space="preserve">【"40 支"＝下引立管的根数，不是长度、不是成套数】明细如下：
一、DLC 机柜下引　16 支＝8 台机柜 × 供 / 回各 1 支。规格 OD76.1（DN65）。立管 EL.+3125…+3227，柜心 ±185。
二、列间空调下引　16 支＝8 台 × 供 / 回各 1 支。规格 OD48.3（DN40）。立管 EL.+3125…+3242，柜心 ±150。
三、CDU 下引　8 支＝EQ_01 / EQ_19 各 4 路（一次侧进、一次侧出、二次侧供、二次侧回）。规格 OD104 / DN100。
（EQ_10 为空调箱 AIR，无管路下引。）
【材质】全部为不锈钢 SS304 / SS316L。与 GPU 冷板回路接触，【严禁铝、镀锌件、铜及铜合金】；密封件材质须与冷却介质相容并注明牌号。壁厚与压力等级请贵司按设计工况提出建议值（二次侧运行压力上限 72 psig ≈ 0.50 MPa，为设备厂家硬限值，不得超越）。
【是否需要法兰连接——需要，下端全部为法兰连接】
· 每支下引支管的【下端】均接一只穿甲板快接法兰（QCF），法兰面标高统一【EL.+2938】，法兰本体 EL.+2880…+2995：
　QCF-DLC　Ø166.2 × 115　16 只
　QCF-CW 　Ø138.4 × 115　16 只
　QCF-CDU　Ø194 × 115（一次侧）/ Ø194 × 120（二次侧）　8 只
　合计 40 只在本次供货范围（另有消防 2 只 Ø146 × 115 为 by others，仅占位，不供货）。
· 每支下引支管【中间串联一只隔离阀】（阀体包络 129.2×129.2×130，EL.+2995…+3125），阀后接立管。
· 每支下引支管的【上端】与总管为焊接支接，三通全部落在直段上（厂内焊接，现场不动火）。
详见图纸 GA-04 断面 A-A / B-B / C-C 与 GA-07 法兰坐标表。</t>
  </si>
  <si>
    <t xml:space="preserve">见 GA-04 / GA-07</t>
  </si>
  <si>
    <t xml:space="preserve">请确认每个阀门的材质，尺寸，接口方式。另外阀门操作件的描述请给出详细的描述，是否是带拉链的手动操作阀？</t>
  </si>
  <si>
    <t xml:space="preserve">一、阀门数量与规格（合计 45 件）
1. IV-DLC　支管隔离阀 DN65　16 只　阀体包络 129.2 × 129.2 × 130
2. IV-CW 　支管隔离阀 DN40　16 只　阀体包络同上
3. IV-CDU　CDU 一次侧隔离阀 DN100　4 只　阀体包络 153.6 × 156 × 120，阀前 / 阀后各设压力表（表组 62.4 × 52.5 × 124）
4. IV-LT 　LT 总管隔离阀 DN100　4 只　阀体 Ø118.4 × 170，立式阀杆，配锥齿轮箱 70 × 70 × 70
5. CV-LT 　LT 旁通止回阀 DN65　1 只　对夹式，两侧法兰 Ø144 × 16
6. AAV　自动排气阀 DN25　2 套（本体 Ø90 × 100）＋ 排气隔离球阀 DN25　2 只（Ø60 × 50），装于一次侧供 / 回总管最高点
（隔离阀合计 40 只：16 + 16 + 4 + 4）
二、材质
· 阀体：SS304（CF8）或 SS316L（CF3M）；阀杆：SS316 / SS431 等不锈钢；
· 阀座、填料、垫片等密封件须与冷却介质相容，材质牌号（EPDM / PTFE / PEEK 等）由贵司建议并在清单中注明；
· 【严禁】铝、镀锌件、铜及铜合金（含黄铜阀芯、青铜阀座）。
三、接口方式
· 因现场【不动火】且要求可机械拆装，二次侧（HT / LT / 下引）阀门建议采用【对夹式或法兰连接】；如采用焊接式阀，焊接须在厂内完成，现场界面仍必须为法兰 / 快接。
· 请贵司在技术方案中逐位号明确：接口型式（对夹 / 法兰 / 焊接）、法兰标准与密封面型式、公称压力等级，并核对阀体外形是否落在上述包络内。
四、阀门操作件——【不是带拉链（链条）的手动操作阀】
本项目采用【刚性阀杆延长】方案，构造为：
　阀杆水平延长 Ø24（长约 559）＋ 支座 36 × 36 × 63 ＋ 轮毂 Ø40 × 24 ＋【Ø140 × 19 手轮】，共 40 套；
　其中 LT 的 4 只立式阀通过【锥齿轮箱 70×70×70】换向后接同规格手轮。
　全部 40 只手轮中心落在【EL.+3090 同一水平线、同一竖向操作面】（手轮面 y ≈ −8831）。
【明确条款：本项目不接受链条（chain-wheel）操作阀。】理由：管路舱净高仅 1278 mm、仅可自下方检修口进入，链条无法定位手轮标高，存在缠绕与误操作风险，且与"全部手轮位于同一操作面"的可达性要求冲突。如贵司认为某位号确无法采用刚性延长，须在技术方案阶段书面提出并给出替代方案报我方审批。
　LT 4 只总管阀的换向细节：LT 供水阀（下管，CL +3242）阀杆朝下 → 锥齿轮箱 70³ → 水平阀杆 → 手轮；LT 回水阀（上管，CL +3456）水平阀杆 → 锥齿轮箱 A 60³ → 立杆 Ø24×311 → 锥齿轮箱 B 50³ → 手轮。请注意 LT 供水阀为【阀杆朝下】安装，所选阀型须允许该姿态（蝶阀可；闸阀 / 截止阀不宜）。
　三维模型中阀杆延长的支座（36×36×63）仅为占位，其【生根方式（落甲板 / 挂标牌梁 / 挂舱壁）由贵司在技术方案中提出】并报我方确认。
其他要求：须可在【不拆管】的情况下更换阀杆延长件；出厂须逐只做开关试验并记录手轮操作力矩，单手可操作。
详见图纸 GA-04、GA-05、GA-08。</t>
  </si>
  <si>
    <t xml:space="preserve">见 GA-04 / GA-05 / GA-08</t>
  </si>
  <si>
    <t xml:space="preserve">阀门标识的材质，安装方式请明确。</t>
  </si>
  <si>
    <t xml:space="preserve">【阀门标识合计 41 件：阀牌 40 块 + 标牌梁 1 根】
一、阀牌
· 规格：170 × 110，板厚 δ1.5～2.0。
· 材质：SS304 不锈钢板（首选）；或阳极氧化铝板（须报审）。
· 打标方式：【激光打标或蚀刻】。不接受贴纸、不干胶、单纯丝印。
· 内容：位号 ＋ 服务对象 ＋ 公称通径，中英文对照，字高 ≥8 mm。示例："IV-DLC-02S / EQ_02 DLC 供水 / DN65"。
二、安装方式
· 全部阀牌【挂装于标牌梁上】，以不锈钢自攻钉 / 铆钉 / 不锈钢卡箍固定（具体紧固方式由贵司在技术方案中提出并报审）。
· 牌面朝向操作面，与其所属手轮【同一 x 位置】；牌面 y = −8690.2，标高 EL.+3305…+3415（梁中心 EL.+3360）。
· 不接受用扎带、挂链直接挂在阀体或管道上。
三、标牌梁
· 规格：120 × 120 方管，长 13416，1 根，位置 y = −8813.2…−8693.2，EL.+3300…+3420。
· 材质：SS304，或 Q235B 热浸镀锌（须报审）。
· 【随管路系统一体预制、整体发货】；两端与舱体结构的连接方式报我方确认。
四、其他标识
· 按供 / 回、高温 / 低温、一次 / 二次分色做色标与管道标识，内容与位置报审后执行。
详见图纸 GA-08 阀牌与标牌梁详图（1:2）。</t>
  </si>
  <si>
    <t xml:space="preserve">见 GA-08</t>
  </si>
  <si>
    <t xml:space="preserve">请确认一次侧管道是否在我方报价范围。</t>
  </si>
  <si>
    <t xml:space="preserve">【在贵司报价范围内。】
一次侧＝管路舱内的 DN150（OD168.3）供 / 回总管 2 条，全长约 13.5 m：
· PRI-S 供水　中心标高 EL.+3612，y = −9700，x 351…13536；
· PRI-R 回水　中心标高 EL.+3830，y = −9700，x 176…13706。
本次一次侧供货内容包括：
1. DN150 供 / 回总管、弯头、三通、法兰、接管；
2. 一次侧快接接头 QC-PRI 4 只（2 对）：本体 Ø245 × 140，卡套 Ø267 × 45，母头侧带防尘盖；
3. 自动排气阀 2 套（Ø90 × 100）＋ 排气隔离球阀 2 只（Ø60 × 50），装于总管最高点；
4. 一次侧吊架 HGR-PRI 10 付（M16 吊杆 + Ø215 管夹，生根 EL.+4216）；
5. CDU 一次侧下引 4 支（EQ_01 / EQ_19 各 2 支：进、出）＋ 隔离阀 IV-CDU 4 只 ＋ 压力表组 4 组 ＋ 对应穿甲板法兰。
【界面】止于管路舱内的一次侧快接接头；接头以外、至冷源（Hybrid Chiller）的【站侧一次侧管路不在本次范围】。
【报价要求】一次侧请按【不锈钢】与【碳钢内外防腐】两个方案【分别报价】，并说明各自的利弊、交期差异与推荐意见（二次侧必须为不锈钢，无碳钢方案）。</t>
  </si>
  <si>
    <t xml:space="preserve">见 GA-01～03 / GA-05</t>
  </si>
  <si>
    <t xml:space="preserve">—</t>
  </si>
  <si>
    <t xml:space="preserve">通用</t>
  </si>
  <si>
    <t xml:space="preserve">（我方补充说明，非贵司提问）</t>
  </si>
  <si>
    <r>
      <rPr>
        <sz val="10"/>
        <rFont val="微软雅黑"/>
        <family val="0"/>
        <charset val="1"/>
      </rPr>
      <t xml:space="preserve">1. </t>
    </r>
    <r>
      <rPr>
        <sz val="10"/>
        <rFont val="Noto Sans CJK SC"/>
        <family val="2"/>
      </rPr>
      <t xml:space="preserve">贵司来表序号自 </t>
    </r>
    <r>
      <rPr>
        <sz val="10"/>
        <rFont val="微软雅黑"/>
        <family val="0"/>
        <charset val="1"/>
      </rPr>
      <t xml:space="preserve">2 </t>
    </r>
    <r>
      <rPr>
        <sz val="10"/>
        <rFont val="Noto Sans CJK SC"/>
        <family val="2"/>
      </rPr>
      <t xml:space="preserve">起，未见序号 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，如有遗漏请补发，我方即刻补答。
</t>
    </r>
    <r>
      <rPr>
        <sz val="10"/>
        <rFont val="微软雅黑"/>
        <family val="0"/>
        <charset val="1"/>
      </rPr>
      <t xml:space="preserve">2. </t>
    </r>
    <r>
      <rPr>
        <sz val="10"/>
        <rFont val="Noto Sans CJK SC"/>
        <family val="2"/>
      </rPr>
      <t xml:space="preserve">本次为 </t>
    </r>
    <r>
      <rPr>
        <sz val="10"/>
        <rFont val="微软雅黑"/>
        <family val="0"/>
        <charset val="1"/>
      </rPr>
      <t xml:space="preserve">RFI </t>
    </r>
    <r>
      <rPr>
        <sz val="10"/>
        <rFont val="Noto Sans CJK SC"/>
        <family val="2"/>
      </rPr>
      <t xml:space="preserve">阶段：我方只给配置口径与技术要求，不提供任何预算金额；「设备材料清单」中的单价 </t>
    </r>
    <r>
      <rPr>
        <sz val="10"/>
        <rFont val="微软雅黑"/>
        <family val="0"/>
        <charset val="1"/>
      </rPr>
      <t xml:space="preserve">/ </t>
    </r>
    <r>
      <rPr>
        <sz val="10"/>
        <rFont val="Noto Sans CJK SC"/>
        <family val="2"/>
      </rPr>
      <t xml:space="preserve">合价请贵司填报。
</t>
    </r>
    <r>
      <rPr>
        <sz val="10"/>
        <rFont val="微软雅黑"/>
        <family val="0"/>
        <charset val="1"/>
      </rPr>
      <t xml:space="preserve">3. </t>
    </r>
    <r>
      <rPr>
        <sz val="10"/>
        <rFont val="Noto Sans CJK SC"/>
        <family val="2"/>
      </rPr>
      <t xml:space="preserve">本轮随附文件：</t>
    </r>
    <r>
      <rPr>
        <sz val="10"/>
        <rFont val="微软雅黑"/>
        <family val="0"/>
        <charset val="1"/>
      </rPr>
      <t xml:space="preserve">GA-01</t>
    </r>
    <r>
      <rPr>
        <sz val="10"/>
        <rFont val="Noto Sans CJK SC"/>
        <family val="2"/>
      </rPr>
      <t xml:space="preserve">～</t>
    </r>
    <r>
      <rPr>
        <sz val="10"/>
        <rFont val="微软雅黑"/>
        <family val="0"/>
        <charset val="1"/>
      </rPr>
      <t xml:space="preserve">08 </t>
    </r>
    <r>
      <rPr>
        <sz val="10"/>
        <rFont val="Noto Sans CJK SC"/>
        <family val="2"/>
      </rPr>
      <t xml:space="preserve">单张 </t>
    </r>
    <r>
      <rPr>
        <sz val="10"/>
        <rFont val="微软雅黑"/>
        <family val="0"/>
        <charset val="1"/>
      </rPr>
      <t xml:space="preserve">DXF</t>
    </r>
    <r>
      <rPr>
        <sz val="10"/>
        <rFont val="Noto Sans CJK SC"/>
        <family val="2"/>
      </rPr>
      <t xml:space="preserve">（</t>
    </r>
    <r>
      <rPr>
        <sz val="10"/>
        <rFont val="微软雅黑"/>
        <family val="0"/>
        <charset val="1"/>
      </rPr>
      <t xml:space="preserve">8 </t>
    </r>
    <r>
      <rPr>
        <sz val="10"/>
        <rFont val="Noto Sans CJK SC"/>
        <family val="2"/>
      </rPr>
      <t xml:space="preserve">个）、</t>
    </r>
    <r>
      <rPr>
        <sz val="10"/>
        <rFont val="微软雅黑"/>
        <family val="0"/>
        <charset val="1"/>
      </rPr>
      <t xml:space="preserve">8 </t>
    </r>
    <r>
      <rPr>
        <sz val="10"/>
        <rFont val="Noto Sans CJK SC"/>
        <family val="2"/>
      </rPr>
      <t xml:space="preserve">页合订 </t>
    </r>
    <r>
      <rPr>
        <sz val="10"/>
        <rFont val="微软雅黑"/>
        <family val="0"/>
        <charset val="1"/>
      </rPr>
      <t xml:space="preserve">PDF</t>
    </r>
    <r>
      <rPr>
        <sz val="10"/>
        <rFont val="Noto Sans CJK SC"/>
        <family val="2"/>
      </rPr>
      <t xml:space="preserve">、</t>
    </r>
    <r>
      <rPr>
        <sz val="10"/>
        <rFont val="微软雅黑"/>
        <family val="0"/>
        <charset val="1"/>
      </rPr>
      <t xml:space="preserve">STEP AP214 </t>
    </r>
    <r>
      <rPr>
        <sz val="10"/>
        <rFont val="Noto Sans CJK SC"/>
        <family val="2"/>
      </rPr>
      <t xml:space="preserve">装配体、</t>
    </r>
    <r>
      <rPr>
        <sz val="10"/>
        <rFont val="微软雅黑"/>
        <family val="0"/>
        <charset val="1"/>
      </rPr>
      <t xml:space="preserve">Blender </t>
    </r>
    <r>
      <rPr>
        <sz val="10"/>
        <rFont val="Noto Sans CJK SC"/>
        <family val="2"/>
      </rPr>
      <t xml:space="preserve">模型、本响应文件。
</t>
    </r>
    <r>
      <rPr>
        <sz val="10"/>
        <rFont val="微软雅黑"/>
        <family val="0"/>
        <charset val="1"/>
      </rPr>
      <t xml:space="preserve">4. </t>
    </r>
    <r>
      <rPr>
        <sz val="10"/>
        <rFont val="Noto Sans CJK SC"/>
        <family val="2"/>
      </rPr>
      <t xml:space="preserve">几何以 </t>
    </r>
    <r>
      <rPr>
        <sz val="10"/>
        <rFont val="微软雅黑"/>
        <family val="0"/>
        <charset val="1"/>
      </rPr>
      <t xml:space="preserve">STEP </t>
    </r>
    <r>
      <rPr>
        <sz val="10"/>
        <rFont val="Noto Sans CJK SC"/>
        <family val="2"/>
      </rPr>
      <t xml:space="preserve">文件为最终判据；图纸与 </t>
    </r>
    <r>
      <rPr>
        <sz val="10"/>
        <rFont val="微软雅黑"/>
        <family val="0"/>
        <charset val="1"/>
      </rPr>
      <t xml:space="preserve">STEP </t>
    </r>
    <r>
      <rPr>
        <sz val="10"/>
        <rFont val="Noto Sans CJK SC"/>
        <family val="2"/>
      </rPr>
      <t xml:space="preserve">不一致时以 </t>
    </r>
    <r>
      <rPr>
        <sz val="10"/>
        <rFont val="微软雅黑"/>
        <family val="0"/>
        <charset val="1"/>
      </rPr>
      <t xml:space="preserve">STEP </t>
    </r>
    <r>
      <rPr>
        <sz val="10"/>
        <rFont val="Noto Sans CJK SC"/>
        <family val="2"/>
      </rPr>
      <t xml:space="preserve">为准并请书面提报我方。
</t>
    </r>
    <r>
      <rPr>
        <sz val="10"/>
        <rFont val="微软雅黑"/>
        <family val="0"/>
        <charset val="1"/>
      </rPr>
      <t xml:space="preserve">5. </t>
    </r>
    <r>
      <rPr>
        <sz val="10"/>
        <rFont val="Noto Sans CJK SC"/>
        <family val="2"/>
      </rPr>
      <t xml:space="preserve">请在收到后 </t>
    </r>
    <r>
      <rPr>
        <sz val="10"/>
        <rFont val="微软雅黑"/>
        <family val="0"/>
        <charset val="1"/>
      </rPr>
      <t xml:space="preserve">3 </t>
    </r>
    <r>
      <rPr>
        <sz val="10"/>
        <rFont val="Noto Sans CJK SC"/>
        <family val="2"/>
      </rPr>
      <t xml:space="preserve">个工作日内确认参与意向，</t>
    </r>
    <r>
      <rPr>
        <sz val="10"/>
        <rFont val="微软雅黑"/>
        <family val="0"/>
        <charset val="1"/>
      </rPr>
      <t xml:space="preserve">10 </t>
    </r>
    <r>
      <rPr>
        <sz val="10"/>
        <rFont val="Noto Sans CJK SC"/>
        <family val="2"/>
      </rPr>
      <t xml:space="preserve">个工作日内提交技术方案与报价。
</t>
    </r>
    <r>
      <rPr>
        <sz val="10"/>
        <rFont val="微软雅黑"/>
        <family val="0"/>
        <charset val="1"/>
      </rPr>
      <t xml:space="preserve">6. </t>
    </r>
    <r>
      <rPr>
        <sz val="10"/>
        <rFont val="Noto Sans CJK SC"/>
        <family val="2"/>
      </rPr>
      <t xml:space="preserve">本文件与随附 </t>
    </r>
    <r>
      <rPr>
        <sz val="10"/>
        <rFont val="微软雅黑"/>
        <family val="0"/>
        <charset val="1"/>
      </rPr>
      <t xml:space="preserve">3D</t>
    </r>
    <r>
      <rPr>
        <sz val="10"/>
        <rFont val="Noto Sans CJK SC"/>
        <family val="2"/>
      </rPr>
      <t xml:space="preserve">、图纸仅用于本次询价，未经我方书面同意不得转发第三方。</t>
    </r>
  </si>
  <si>
    <r>
      <rPr>
        <b val="true"/>
        <sz val="14"/>
        <rFont val="微软雅黑"/>
        <family val="0"/>
        <charset val="1"/>
      </rPr>
      <t xml:space="preserve">DC45 </t>
    </r>
    <r>
      <rPr>
        <b val="true"/>
        <sz val="14"/>
        <rFont val="Noto Sans CJK SC"/>
        <family val="2"/>
      </rPr>
      <t xml:space="preserve">上部模块（</t>
    </r>
    <r>
      <rPr>
        <b val="true"/>
        <sz val="14"/>
        <rFont val="微软雅黑"/>
        <family val="0"/>
        <charset val="1"/>
      </rPr>
      <t xml:space="preserve">TOP Add-on</t>
    </r>
    <r>
      <rPr>
        <b val="true"/>
        <sz val="14"/>
        <rFont val="Noto Sans CJK SC"/>
        <family val="2"/>
      </rPr>
      <t xml:space="preserve">）管路系统　设备 </t>
    </r>
    <r>
      <rPr>
        <b val="true"/>
        <sz val="14"/>
        <rFont val="微软雅黑"/>
        <family val="0"/>
        <charset val="1"/>
      </rPr>
      <t xml:space="preserve">/ </t>
    </r>
    <r>
      <rPr>
        <b val="true"/>
        <sz val="14"/>
        <rFont val="Noto Sans CJK SC"/>
        <family val="2"/>
      </rPr>
      <t xml:space="preserve">材料清单（询价用）　</t>
    </r>
    <r>
      <rPr>
        <b val="true"/>
        <sz val="14"/>
        <rFont val="微软雅黑"/>
        <family val="0"/>
        <charset val="1"/>
      </rPr>
      <t xml:space="preserve">RFI-PIP-001 Rev.1</t>
    </r>
  </si>
  <si>
    <t xml:space="preserve">填表说明：① 黄色底色的三列（厂家建议 / 单价 / 合价）由贵司填写；其余为 MDCX 给定口径，请勿修改。② 本次为 RFI 阶段，MDCX 不提供任何预算金额。③ 规格为三维模型实测几何值；壁厚、材质牌号、压力等级、法兰标准、品牌型号请在「厂家建议」列填报。④ 阀体 / 手轮 / 表组为包络尺寸，实际选型外形不得超出。⑤ 若选型导致件数变化，请以增行方式说明，勿改动原有行。⑥ 合价列已设公式 = 数量 × 单价。</t>
  </si>
  <si>
    <t xml:space="preserve">分项</t>
  </si>
  <si>
    <t xml:space="preserve">位号 TAG</t>
  </si>
  <si>
    <t xml:space="preserve">名称</t>
  </si>
  <si>
    <t xml:space="preserve">规格 / 包络尺寸（mm）</t>
  </si>
  <si>
    <t xml:space="preserve">材质要求（MDCX 口径）</t>
  </si>
  <si>
    <t xml:space="preserve">数量</t>
  </si>
  <si>
    <t xml:space="preserve">单位</t>
  </si>
  <si>
    <t xml:space="preserve">对应图号</t>
  </si>
  <si>
    <t xml:space="preserve">厂家建议（壁厚 / 材质 / 标准 / 品牌型号）</t>
  </si>
  <si>
    <t xml:space="preserve">单价（元，含税）</t>
  </si>
  <si>
    <t xml:space="preserve">合价（元，含税）</t>
  </si>
  <si>
    <t xml:space="preserve">备注</t>
  </si>
  <si>
    <t xml:space="preserve">A</t>
  </si>
  <si>
    <t xml:space="preserve">一次侧总管系统（PRI）</t>
  </si>
  <si>
    <t xml:space="preserve">PRI-S</t>
  </si>
  <si>
    <t xml:space="preserve">一次侧供水总管</t>
  </si>
  <si>
    <r>
      <rPr>
        <sz val="9"/>
        <rFont val="微软雅黑"/>
        <family val="0"/>
        <charset val="1"/>
      </rPr>
      <t xml:space="preserve">OD168.3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DN150</t>
    </r>
    <r>
      <rPr>
        <sz val="9"/>
        <rFont val="Noto Sans CJK SC"/>
        <family val="2"/>
      </rPr>
      <t xml:space="preserve">）；</t>
    </r>
    <r>
      <rPr>
        <sz val="9"/>
        <rFont val="微软雅黑"/>
        <family val="0"/>
        <charset val="1"/>
      </rPr>
      <t xml:space="preserve">CL EL.+3612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y=−9700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x 351…13536</t>
    </r>
  </si>
  <si>
    <t xml:space="preserve">一次侧可选：SS304/SS316L 或碳钢内外防腐（两案分别报价）</t>
  </si>
  <si>
    <t xml:space="preserve">m</t>
  </si>
  <si>
    <r>
      <rPr>
        <sz val="9"/>
        <rFont val="微软雅黑"/>
        <family val="0"/>
        <charset val="1"/>
      </rPr>
      <t xml:space="preserve">GA-01</t>
    </r>
    <r>
      <rPr>
        <sz val="9"/>
        <rFont val="Noto Sans CJK SC"/>
        <family val="2"/>
      </rPr>
      <t xml:space="preserve">～</t>
    </r>
    <r>
      <rPr>
        <sz val="9"/>
        <rFont val="微软雅黑"/>
        <family val="0"/>
        <charset val="1"/>
      </rPr>
      <t xml:space="preserve">03 / GA-05</t>
    </r>
  </si>
  <si>
    <t xml:space="preserve">PRI-R</t>
  </si>
  <si>
    <t xml:space="preserve">一次侧回水总管</t>
  </si>
  <si>
    <r>
      <rPr>
        <sz val="9"/>
        <rFont val="微软雅黑"/>
        <family val="0"/>
        <charset val="1"/>
      </rPr>
      <t xml:space="preserve">OD168.3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DN150</t>
    </r>
    <r>
      <rPr>
        <sz val="9"/>
        <rFont val="Noto Sans CJK SC"/>
        <family val="2"/>
      </rPr>
      <t xml:space="preserve">）；</t>
    </r>
    <r>
      <rPr>
        <sz val="9"/>
        <rFont val="微软雅黑"/>
        <family val="0"/>
        <charset val="1"/>
      </rPr>
      <t xml:space="preserve">CL EL.+3830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y=−9700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x 176…13706</t>
    </r>
  </si>
  <si>
    <t xml:space="preserve">PRI-FIT</t>
  </si>
  <si>
    <t xml:space="preserve">一次侧弯头、三通、法兰、接管</t>
  </si>
  <si>
    <t xml:space="preserve">配套；三通全部落在直段</t>
  </si>
  <si>
    <t xml:space="preserve">套</t>
  </si>
  <si>
    <r>
      <rPr>
        <sz val="9"/>
        <rFont val="微软雅黑"/>
        <family val="0"/>
        <charset val="1"/>
      </rPr>
      <t xml:space="preserve">GA-01</t>
    </r>
    <r>
      <rPr>
        <sz val="9"/>
        <rFont val="Noto Sans CJK SC"/>
        <family val="2"/>
      </rPr>
      <t xml:space="preserve">～</t>
    </r>
    <r>
      <rPr>
        <sz val="9"/>
        <rFont val="微软雅黑"/>
        <family val="0"/>
        <charset val="1"/>
      </rPr>
      <t xml:space="preserve">03</t>
    </r>
  </si>
  <si>
    <t xml:space="preserve">QC-PRI</t>
  </si>
  <si>
    <t xml:space="preserve">一次侧快接接头</t>
  </si>
  <si>
    <t xml:space="preserve">本体 Ø245×140 + 卡套 Ø267×45；母头侧带防尘盖</t>
  </si>
  <si>
    <r>
      <rPr>
        <sz val="9"/>
        <rFont val="微软雅黑"/>
        <family val="0"/>
        <charset val="1"/>
      </rPr>
      <t xml:space="preserve">SS304 / SS316L</t>
    </r>
    <r>
      <rPr>
        <sz val="9"/>
        <rFont val="Noto Sans CJK SC"/>
        <family val="2"/>
      </rPr>
      <t xml:space="preserve">（严禁铝、镀锌件、铜及铜合金）</t>
    </r>
  </si>
  <si>
    <t xml:space="preserve">只</t>
  </si>
  <si>
    <t xml:space="preserve">GA-01</t>
  </si>
  <si>
    <r>
      <rPr>
        <sz val="9"/>
        <rFont val="微软雅黑"/>
        <family val="0"/>
        <charset val="1"/>
      </rPr>
      <t xml:space="preserve">2 </t>
    </r>
    <r>
      <rPr>
        <sz val="9"/>
        <rFont val="Noto Sans CJK SC"/>
        <family val="2"/>
      </rPr>
      <t xml:space="preserve">对；上界面</t>
    </r>
  </si>
  <si>
    <t xml:space="preserve">AAV</t>
  </si>
  <si>
    <t xml:space="preserve">自动排气阀 DN25</t>
  </si>
  <si>
    <t xml:space="preserve">本体 Ø90×100；装于供/回总管最高点</t>
  </si>
  <si>
    <t xml:space="preserve">AAV-BV</t>
  </si>
  <si>
    <t xml:space="preserve">排气隔离球阀 DN25</t>
  </si>
  <si>
    <t xml:space="preserve">Ø60×50</t>
  </si>
  <si>
    <t xml:space="preserve">AAV-ST</t>
  </si>
  <si>
    <t xml:space="preserve">排气短管</t>
  </si>
  <si>
    <r>
      <rPr>
        <sz val="9"/>
        <rFont val="微软雅黑"/>
        <family val="0"/>
        <charset val="1"/>
      </rPr>
      <t xml:space="preserve">Ø34</t>
    </r>
    <r>
      <rPr>
        <sz val="9"/>
        <rFont val="Noto Sans CJK SC"/>
        <family val="2"/>
      </rPr>
      <t xml:space="preserve">；</t>
    </r>
    <r>
      <rPr>
        <sz val="9"/>
        <rFont val="微软雅黑"/>
        <family val="0"/>
        <charset val="1"/>
      </rPr>
      <t xml:space="preserve">EL.+3600…+3920</t>
    </r>
  </si>
  <si>
    <t xml:space="preserve">支</t>
  </si>
  <si>
    <t xml:space="preserve">B</t>
  </si>
  <si>
    <t xml:space="preserve">二次侧高温回路 HT / DLC</t>
  </si>
  <si>
    <t xml:space="preserve">HT-S</t>
  </si>
  <si>
    <t xml:space="preserve">高温供水主管（两端蛇形过渡）</t>
  </si>
  <si>
    <r>
      <rPr>
        <sz val="9"/>
        <rFont val="微软雅黑"/>
        <family val="0"/>
        <charset val="1"/>
      </rPr>
      <t xml:space="preserve">OD134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DN125</t>
    </r>
    <r>
      <rPr>
        <sz val="9"/>
        <rFont val="Noto Sans CJK SC"/>
        <family val="2"/>
      </rPr>
      <t xml:space="preserve">）；直管 </t>
    </r>
    <r>
      <rPr>
        <sz val="9"/>
        <rFont val="微软雅黑"/>
        <family val="0"/>
        <charset val="1"/>
      </rPr>
      <t xml:space="preserve">CL EL.+3227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y=−9457</t>
    </r>
    <r>
      <rPr>
        <sz val="9"/>
        <rFont val="Noto Sans CJK SC"/>
        <family val="2"/>
      </rPr>
      <t xml:space="preserve">；两端蛇形过渡至 </t>
    </r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二次侧法兰；</t>
    </r>
    <r>
      <rPr>
        <sz val="9"/>
        <rFont val="微软雅黑"/>
        <family val="0"/>
        <charset val="1"/>
      </rPr>
      <t xml:space="preserve">x 746…11980</t>
    </r>
  </si>
  <si>
    <t xml:space="preserve">条</t>
  </si>
  <si>
    <r>
      <rPr>
        <sz val="9"/>
        <rFont val="微软雅黑"/>
        <family val="0"/>
        <charset val="1"/>
      </rPr>
      <t xml:space="preserve">GA-01</t>
    </r>
    <r>
      <rPr>
        <sz val="9"/>
        <rFont val="Noto Sans CJK SC"/>
        <family val="2"/>
      </rPr>
      <t xml:space="preserve">～</t>
    </r>
    <r>
      <rPr>
        <sz val="9"/>
        <rFont val="微软雅黑"/>
        <family val="0"/>
        <charset val="1"/>
      </rPr>
      <t xml:space="preserve">03 / GA-04</t>
    </r>
  </si>
  <si>
    <t xml:space="preserve">全长约 11.6 m 含弯头；勘误：RFI Rev.0 §4.2 写 OD104 有误</t>
  </si>
  <si>
    <t xml:space="preserve">HT-R</t>
  </si>
  <si>
    <t xml:space="preserve">高温回水主管（两端蛇形过渡）</t>
  </si>
  <si>
    <r>
      <rPr>
        <sz val="9"/>
        <rFont val="微软雅黑"/>
        <family val="0"/>
        <charset val="1"/>
      </rPr>
      <t xml:space="preserve">OD134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DN125</t>
    </r>
    <r>
      <rPr>
        <sz val="9"/>
        <rFont val="Noto Sans CJK SC"/>
        <family val="2"/>
      </rPr>
      <t xml:space="preserve">）；直管 </t>
    </r>
    <r>
      <rPr>
        <sz val="9"/>
        <rFont val="微软雅黑"/>
        <family val="0"/>
        <charset val="1"/>
      </rPr>
      <t xml:space="preserve">CL EL.+3411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y=−9457</t>
    </r>
    <r>
      <rPr>
        <sz val="9"/>
        <rFont val="Noto Sans CJK SC"/>
        <family val="2"/>
      </rPr>
      <t xml:space="preserve">；</t>
    </r>
    <r>
      <rPr>
        <sz val="9"/>
        <rFont val="微软雅黑"/>
        <family val="0"/>
        <charset val="1"/>
      </rPr>
      <t xml:space="preserve">x 336…11570</t>
    </r>
  </si>
  <si>
    <t xml:space="preserve">全长约 11.6 m 含弯头</t>
  </si>
  <si>
    <t xml:space="preserve">HT-FIT</t>
  </si>
  <si>
    <r>
      <rPr>
        <sz val="9"/>
        <rFont val="微软雅黑"/>
        <family val="0"/>
        <charset val="1"/>
      </rPr>
      <t xml:space="preserve">HT </t>
    </r>
    <r>
      <rPr>
        <sz val="9"/>
        <rFont val="Noto Sans CJK SC"/>
        <family val="2"/>
      </rPr>
      <t xml:space="preserve">弯头、法兰接管</t>
    </r>
  </si>
  <si>
    <t xml:space="preserve">全弯头连接；两端下接 CDU 二次侧穿甲板法兰（Ø194×120）</t>
  </si>
  <si>
    <t xml:space="preserve">GA-04</t>
  </si>
  <si>
    <t xml:space="preserve">C</t>
  </si>
  <si>
    <t xml:space="preserve">二次侧低温回路 LT / CW</t>
  </si>
  <si>
    <t xml:space="preserve">LT-S</t>
  </si>
  <si>
    <t xml:space="preserve">低温供水总管</t>
  </si>
  <si>
    <r>
      <rPr>
        <sz val="9"/>
        <rFont val="微软雅黑"/>
        <family val="0"/>
        <charset val="1"/>
      </rPr>
      <t xml:space="preserve">OD114.3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DN100</t>
    </r>
    <r>
      <rPr>
        <sz val="9"/>
        <rFont val="Noto Sans CJK SC"/>
        <family val="2"/>
      </rPr>
      <t xml:space="preserve">）；</t>
    </r>
    <r>
      <rPr>
        <sz val="9"/>
        <rFont val="微软雅黑"/>
        <family val="0"/>
        <charset val="1"/>
      </rPr>
      <t xml:space="preserve">CL EL.+3242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y=−8971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x 320…13436</t>
    </r>
  </si>
  <si>
    <t xml:space="preserve">LT-R</t>
  </si>
  <si>
    <t xml:space="preserve">低温回水总管</t>
  </si>
  <si>
    <r>
      <rPr>
        <sz val="9"/>
        <rFont val="微软雅黑"/>
        <family val="0"/>
        <charset val="1"/>
      </rPr>
      <t xml:space="preserve">OD114.3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DN100</t>
    </r>
    <r>
      <rPr>
        <sz val="9"/>
        <rFont val="Noto Sans CJK SC"/>
        <family val="2"/>
      </rPr>
      <t xml:space="preserve">）；</t>
    </r>
    <r>
      <rPr>
        <sz val="9"/>
        <rFont val="微软雅黑"/>
        <family val="0"/>
        <charset val="1"/>
      </rPr>
      <t xml:space="preserve">CL EL.+3456</t>
    </r>
    <r>
      <rPr>
        <sz val="9"/>
        <rFont val="Noto Sans CJK SC"/>
        <family val="2"/>
      </rPr>
      <t xml:space="preserve">，同 </t>
    </r>
    <r>
      <rPr>
        <sz val="9"/>
        <rFont val="微软雅黑"/>
        <family val="0"/>
        <charset val="1"/>
      </rPr>
      <t xml:space="preserve">y</t>
    </r>
  </si>
  <si>
    <t xml:space="preserve">QC-LT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</si>
  <si>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快接接头</t>
    </r>
  </si>
  <si>
    <t xml:space="preserve">本体 Ø167.2×140 + 卡套 Ø182.6×45；母头带防尘盖</t>
  </si>
  <si>
    <t xml:space="preserve">LT-BP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</si>
  <si>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旁通管</t>
    </r>
  </si>
  <si>
    <r>
      <rPr>
        <sz val="9"/>
        <rFont val="微软雅黑"/>
        <family val="0"/>
        <charset val="1"/>
      </rPr>
      <t xml:space="preserve">OD76</t>
    </r>
    <r>
      <rPr>
        <sz val="9"/>
        <rFont val="Noto Sans CJK SC"/>
        <family val="2"/>
      </rPr>
      <t xml:space="preserve">；</t>
    </r>
    <r>
      <rPr>
        <sz val="9"/>
        <rFont val="微软雅黑"/>
        <family val="0"/>
        <charset val="1"/>
      </rPr>
      <t xml:space="preserve">EL.+3204…+3494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x≈6250</t>
    </r>
  </si>
  <si>
    <t xml:space="preserve">GA-05 E-E</t>
  </si>
  <si>
    <t xml:space="preserve">LT-FIT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</si>
  <si>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弯头、法兰、接管</t>
    </r>
  </si>
  <si>
    <t xml:space="preserve">配套</t>
  </si>
  <si>
    <t xml:space="preserve">D</t>
  </si>
  <si>
    <t xml:space="preserve">设备下引支管（合计 40 支）</t>
  </si>
  <si>
    <t xml:space="preserve">DROP-DLC</t>
  </si>
  <si>
    <r>
      <rPr>
        <sz val="9"/>
        <rFont val="微软雅黑"/>
        <family val="0"/>
        <charset val="1"/>
      </rPr>
      <t xml:space="preserve">DLC </t>
    </r>
    <r>
      <rPr>
        <sz val="9"/>
        <rFont val="Noto Sans CJK SC"/>
        <family val="2"/>
      </rPr>
      <t xml:space="preserve">机柜下引立管</t>
    </r>
  </si>
  <si>
    <r>
      <rPr>
        <sz val="9"/>
        <rFont val="微软雅黑"/>
        <family val="0"/>
        <charset val="1"/>
      </rPr>
      <t xml:space="preserve">OD76.1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DN65</t>
    </r>
    <r>
      <rPr>
        <sz val="9"/>
        <rFont val="Noto Sans CJK SC"/>
        <family val="2"/>
      </rPr>
      <t xml:space="preserve">）；</t>
    </r>
    <r>
      <rPr>
        <sz val="9"/>
        <rFont val="微软雅黑"/>
        <family val="0"/>
        <charset val="1"/>
      </rPr>
      <t xml:space="preserve">EL.+3125…+3227</t>
    </r>
    <r>
      <rPr>
        <sz val="9"/>
        <rFont val="Noto Sans CJK SC"/>
        <family val="2"/>
      </rPr>
      <t xml:space="preserve">；柜心 </t>
    </r>
    <r>
      <rPr>
        <sz val="9"/>
        <rFont val="微软雅黑"/>
        <family val="0"/>
        <charset val="1"/>
      </rPr>
      <t xml:space="preserve">±185</t>
    </r>
  </si>
  <si>
    <t xml:space="preserve">GA-04 A-A</t>
  </si>
  <si>
    <r>
      <rPr>
        <sz val="9"/>
        <rFont val="微软雅黑"/>
        <family val="0"/>
        <charset val="1"/>
      </rPr>
      <t xml:space="preserve">8 </t>
    </r>
    <r>
      <rPr>
        <sz val="9"/>
        <rFont val="Noto Sans CJK SC"/>
        <family val="2"/>
      </rPr>
      <t xml:space="preserve">台机柜 </t>
    </r>
    <r>
      <rPr>
        <sz val="9"/>
        <rFont val="微软雅黑"/>
        <family val="0"/>
        <charset val="1"/>
      </rPr>
      <t xml:space="preserve">× </t>
    </r>
    <r>
      <rPr>
        <sz val="9"/>
        <rFont val="Noto Sans CJK SC"/>
        <family val="2"/>
      </rPr>
      <t xml:space="preserve">供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回</t>
    </r>
  </si>
  <si>
    <t xml:space="preserve">DROP-CW</t>
  </si>
  <si>
    <t xml:space="preserve">列间空调下引立管</t>
  </si>
  <si>
    <r>
      <rPr>
        <sz val="9"/>
        <rFont val="微软雅黑"/>
        <family val="0"/>
        <charset val="1"/>
      </rPr>
      <t xml:space="preserve">OD48.3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DN40</t>
    </r>
    <r>
      <rPr>
        <sz val="9"/>
        <rFont val="Noto Sans CJK SC"/>
        <family val="2"/>
      </rPr>
      <t xml:space="preserve">）；</t>
    </r>
    <r>
      <rPr>
        <sz val="9"/>
        <rFont val="微软雅黑"/>
        <family val="0"/>
        <charset val="1"/>
      </rPr>
      <t xml:space="preserve">EL.+3125…+3242</t>
    </r>
    <r>
      <rPr>
        <sz val="9"/>
        <rFont val="Noto Sans CJK SC"/>
        <family val="2"/>
      </rPr>
      <t xml:space="preserve">；柜心 </t>
    </r>
    <r>
      <rPr>
        <sz val="9"/>
        <rFont val="微软雅黑"/>
        <family val="0"/>
        <charset val="1"/>
      </rPr>
      <t xml:space="preserve">±150</t>
    </r>
  </si>
  <si>
    <t xml:space="preserve">GA-04 B-B</t>
  </si>
  <si>
    <r>
      <rPr>
        <sz val="9"/>
        <rFont val="微软雅黑"/>
        <family val="0"/>
        <charset val="1"/>
      </rPr>
      <t xml:space="preserve">8 </t>
    </r>
    <r>
      <rPr>
        <sz val="9"/>
        <rFont val="Noto Sans CJK SC"/>
        <family val="2"/>
      </rPr>
      <t xml:space="preserve">台 </t>
    </r>
    <r>
      <rPr>
        <sz val="9"/>
        <rFont val="微软雅黑"/>
        <family val="0"/>
        <charset val="1"/>
      </rPr>
      <t xml:space="preserve">× </t>
    </r>
    <r>
      <rPr>
        <sz val="9"/>
        <rFont val="Noto Sans CJK SC"/>
        <family val="2"/>
      </rPr>
      <t xml:space="preserve">供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</rPr>
      <t xml:space="preserve">回</t>
    </r>
  </si>
  <si>
    <t xml:space="preserve">DROP-CDU</t>
  </si>
  <si>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下引支管</t>
    </r>
  </si>
  <si>
    <r>
      <rPr>
        <sz val="9"/>
        <rFont val="微软雅黑"/>
        <family val="0"/>
        <charset val="1"/>
      </rPr>
      <t xml:space="preserve">DN100 </t>
    </r>
    <r>
      <rPr>
        <sz val="9"/>
        <rFont val="Noto Sans CJK SC"/>
        <family val="2"/>
      </rPr>
      <t xml:space="preserve">口径；</t>
    </r>
    <r>
      <rPr>
        <sz val="9"/>
        <rFont val="微软雅黑"/>
        <family val="0"/>
        <charset val="1"/>
      </rPr>
      <t xml:space="preserve">EQ_01</t>
    </r>
    <r>
      <rPr>
        <sz val="9"/>
        <rFont val="Noto Sans CJK SC"/>
        <family val="2"/>
      </rPr>
      <t xml:space="preserve">、</t>
    </r>
    <r>
      <rPr>
        <sz val="9"/>
        <rFont val="微软雅黑"/>
        <family val="0"/>
        <charset val="1"/>
      </rPr>
      <t xml:space="preserve">EQ_19 </t>
    </r>
    <r>
      <rPr>
        <sz val="9"/>
        <rFont val="Noto Sans CJK SC"/>
        <family val="2"/>
      </rPr>
      <t xml:space="preserve">各 </t>
    </r>
    <r>
      <rPr>
        <sz val="9"/>
        <rFont val="微软雅黑"/>
        <family val="0"/>
        <charset val="1"/>
      </rPr>
      <t xml:space="preserve">4 </t>
    </r>
    <r>
      <rPr>
        <sz val="9"/>
        <rFont val="Noto Sans CJK SC"/>
        <family val="2"/>
      </rPr>
      <t xml:space="preserve">路</t>
    </r>
  </si>
  <si>
    <t xml:space="preserve">GA-04 C-C</t>
  </si>
  <si>
    <t xml:space="preserve">一次进/出 + 二次供/回；模型一次侧接管 OD119 / 短节 OD104 不一致，按 DN100 由厂家统一</t>
  </si>
  <si>
    <t xml:space="preserve">CDU-SP</t>
  </si>
  <si>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一次侧短节</t>
    </r>
  </si>
  <si>
    <r>
      <rPr>
        <sz val="9"/>
        <rFont val="微软雅黑"/>
        <family val="0"/>
        <charset val="1"/>
      </rPr>
      <t xml:space="preserve">OD104 × 40</t>
    </r>
    <r>
      <rPr>
        <sz val="9"/>
        <rFont val="Noto Sans CJK SC"/>
        <family val="2"/>
      </rPr>
      <t xml:space="preserve">；接穿甲板法兰</t>
    </r>
  </si>
  <si>
    <t xml:space="preserve">E</t>
  </si>
  <si>
    <t xml:space="preserve">阀门（合计 45 件）</t>
  </si>
  <si>
    <t xml:space="preserve">IV-DLC</t>
  </si>
  <si>
    <t xml:space="preserve">支管隔离阀 DN65</t>
  </si>
  <si>
    <t xml:space="preserve">阀体包络 129.2×129.2×130；EL.+2995…+3125</t>
  </si>
  <si>
    <t xml:space="preserve">阀体 SS304(CF8)/SS316L(CF3M)；阀杆不锈钢；密封件与介质相容</t>
  </si>
  <si>
    <t xml:space="preserve">接口型式由厂家明确</t>
  </si>
  <si>
    <t xml:space="preserve">IV-CW</t>
  </si>
  <si>
    <t xml:space="preserve">支管隔离阀 DN40</t>
  </si>
  <si>
    <t xml:space="preserve">阀体包络 129.2×129.2×130</t>
  </si>
  <si>
    <t xml:space="preserve">IV-CDU</t>
  </si>
  <si>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一次侧隔离阀 </t>
    </r>
    <r>
      <rPr>
        <sz val="9"/>
        <rFont val="微软雅黑"/>
        <family val="0"/>
        <charset val="1"/>
      </rPr>
      <t xml:space="preserve">DN100</t>
    </r>
  </si>
  <si>
    <t xml:space="preserve">阀体包络 153.6×156×120</t>
  </si>
  <si>
    <t xml:space="preserve">阀前阀后各设压力表</t>
  </si>
  <si>
    <t xml:space="preserve">IV-LT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</si>
  <si>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总管隔离阀 </t>
    </r>
    <r>
      <rPr>
        <sz val="9"/>
        <rFont val="微软雅黑"/>
        <family val="0"/>
        <charset val="1"/>
      </rPr>
      <t xml:space="preserve">DN100</t>
    </r>
  </si>
  <si>
    <t xml:space="preserve">阀体 Ø118.4×170</t>
  </si>
  <si>
    <t xml:space="preserve">GA-05 D-D</t>
  </si>
  <si>
    <r>
      <rPr>
        <sz val="9"/>
        <rFont val="微软雅黑"/>
        <family val="0"/>
        <charset val="1"/>
      </rPr>
      <t xml:space="preserve">LT-S 2 </t>
    </r>
    <r>
      <rPr>
        <sz val="9"/>
        <rFont val="Noto Sans CJK SC"/>
        <family val="2"/>
      </rPr>
      <t xml:space="preserve">只阀杆朝下（阀型须允许）；</t>
    </r>
    <r>
      <rPr>
        <sz val="9"/>
        <rFont val="微软雅黑"/>
        <family val="0"/>
        <charset val="1"/>
      </rPr>
      <t xml:space="preserve">LT-R 2 </t>
    </r>
    <r>
      <rPr>
        <sz val="9"/>
        <rFont val="Noto Sans CJK SC"/>
        <family val="2"/>
      </rPr>
      <t xml:space="preserve">只水平阀杆</t>
    </r>
  </si>
  <si>
    <t xml:space="preserve">CV-LT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</si>
  <si>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旁通止回阀 </t>
    </r>
    <r>
      <rPr>
        <sz val="9"/>
        <rFont val="微软雅黑"/>
        <family val="0"/>
        <charset val="1"/>
      </rPr>
      <t xml:space="preserve">DN65</t>
    </r>
  </si>
  <si>
    <t xml:space="preserve">对夹式；两侧法兰 Ø144×16</t>
  </si>
  <si>
    <t xml:space="preserve">PG-CDU</t>
  </si>
  <si>
    <r>
      <rPr>
        <sz val="9"/>
        <rFont val="微软雅黑"/>
        <family val="0"/>
        <charset val="1"/>
      </rPr>
      <t xml:space="preserve">CDU </t>
    </r>
    <r>
      <rPr>
        <sz val="9"/>
        <rFont val="Noto Sans CJK SC"/>
        <family val="2"/>
      </rPr>
      <t xml:space="preserve">压力表组</t>
    </r>
  </si>
  <si>
    <t xml:space="preserve">包络 62.4×52.5×124</t>
  </si>
  <si>
    <t xml:space="preserve">表体不锈钢；量程与精度由厂家建议</t>
  </si>
  <si>
    <t xml:space="preserve">组</t>
  </si>
  <si>
    <t xml:space="preserve">阀前/阀后各一</t>
  </si>
  <si>
    <t xml:space="preserve">（自动排气阀 2 套 + 隔离球阀 2 只已列于 A 分项）</t>
  </si>
  <si>
    <t xml:space="preserve">计入阀门 45 件总数</t>
  </si>
  <si>
    <t xml:space="preserve">F</t>
  </si>
  <si>
    <t xml:space="preserve">阀门操作件（合计 40 套）</t>
  </si>
  <si>
    <t xml:space="preserve">OP-RIGID</t>
  </si>
  <si>
    <t xml:space="preserve">刚性阀杆延长组件</t>
  </si>
  <si>
    <t xml:space="preserve">阀杆 Ø24（长≈559）+ 支座 36×36×63 + 轮毂 Ø40×24</t>
  </si>
  <si>
    <r>
      <rPr>
        <sz val="9"/>
        <rFont val="微软雅黑"/>
        <family val="0"/>
        <charset val="1"/>
      </rPr>
      <t xml:space="preserve">A2-70/A4-70 </t>
    </r>
    <r>
      <rPr>
        <sz val="9"/>
        <rFont val="Noto Sans CJK SC"/>
        <family val="2"/>
      </rPr>
      <t xml:space="preserve">不锈钢</t>
    </r>
  </si>
  <si>
    <t xml:space="preserve">GA-04 / GA-08</t>
  </si>
  <si>
    <t xml:space="preserve">支管阀 32 + CDU 阀 4</t>
  </si>
  <si>
    <t xml:space="preserve">OP-GEAR</t>
  </si>
  <si>
    <t xml:space="preserve">锥齿轮箱换向组件</t>
  </si>
  <si>
    <r>
      <rPr>
        <sz val="9"/>
        <rFont val="微软雅黑"/>
        <family val="0"/>
        <charset val="1"/>
      </rPr>
      <t xml:space="preserve">LT-S</t>
    </r>
    <r>
      <rPr>
        <sz val="9"/>
        <rFont val="Noto Sans CJK SC"/>
        <family val="2"/>
      </rPr>
      <t xml:space="preserve">：</t>
    </r>
    <r>
      <rPr>
        <sz val="9"/>
        <rFont val="微软雅黑"/>
        <family val="0"/>
        <charset val="1"/>
      </rPr>
      <t xml:space="preserve">1 </t>
    </r>
    <r>
      <rPr>
        <sz val="9"/>
        <rFont val="Noto Sans CJK SC"/>
        <family val="2"/>
      </rPr>
      <t xml:space="preserve">箱 </t>
    </r>
    <r>
      <rPr>
        <sz val="9"/>
        <rFont val="微软雅黑"/>
        <family val="0"/>
        <charset val="1"/>
      </rPr>
      <t xml:space="preserve">70³ + </t>
    </r>
    <r>
      <rPr>
        <sz val="9"/>
        <rFont val="Noto Sans CJK SC"/>
        <family val="2"/>
      </rPr>
      <t xml:space="preserve">立杆 </t>
    </r>
    <r>
      <rPr>
        <sz val="9"/>
        <rFont val="微软雅黑"/>
        <family val="0"/>
        <charset val="1"/>
      </rPr>
      <t xml:space="preserve">Ø24×58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2 </t>
    </r>
    <r>
      <rPr>
        <sz val="9"/>
        <rFont val="Noto Sans CJK SC"/>
        <family val="2"/>
      </rPr>
      <t xml:space="preserve">套）；</t>
    </r>
    <r>
      <rPr>
        <sz val="9"/>
        <rFont val="微软雅黑"/>
        <family val="0"/>
        <charset val="1"/>
      </rPr>
      <t xml:space="preserve">LT-R</t>
    </r>
    <r>
      <rPr>
        <sz val="9"/>
        <rFont val="Noto Sans CJK SC"/>
        <family val="2"/>
      </rPr>
      <t xml:space="preserve">：</t>
    </r>
    <r>
      <rPr>
        <sz val="9"/>
        <rFont val="微软雅黑"/>
        <family val="0"/>
        <charset val="1"/>
      </rPr>
      <t xml:space="preserve">2 </t>
    </r>
    <r>
      <rPr>
        <sz val="9"/>
        <rFont val="Noto Sans CJK SC"/>
        <family val="2"/>
      </rPr>
      <t xml:space="preserve">箱 </t>
    </r>
    <r>
      <rPr>
        <sz val="9"/>
        <rFont val="微软雅黑"/>
        <family val="0"/>
        <charset val="1"/>
      </rPr>
      <t xml:space="preserve">60³/50³ + </t>
    </r>
    <r>
      <rPr>
        <sz val="9"/>
        <rFont val="Noto Sans CJK SC"/>
        <family val="2"/>
      </rPr>
      <t xml:space="preserve">立杆 </t>
    </r>
    <r>
      <rPr>
        <sz val="9"/>
        <rFont val="微软雅黑"/>
        <family val="0"/>
        <charset val="1"/>
      </rPr>
      <t xml:space="preserve">Ø24×311</t>
    </r>
    <r>
      <rPr>
        <sz val="9"/>
        <rFont val="Noto Sans CJK SC"/>
        <family val="2"/>
      </rPr>
      <t xml:space="preserve">（</t>
    </r>
    <r>
      <rPr>
        <sz val="9"/>
        <rFont val="微软雅黑"/>
        <family val="0"/>
        <charset val="1"/>
      </rPr>
      <t xml:space="preserve">2 </t>
    </r>
    <r>
      <rPr>
        <sz val="9"/>
        <rFont val="Noto Sans CJK SC"/>
        <family val="2"/>
      </rPr>
      <t xml:space="preserve">套）</t>
    </r>
  </si>
  <si>
    <t xml:space="preserve">不锈钢或防腐处理（报审）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</si>
  <si>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总管阀专用</t>
    </r>
  </si>
  <si>
    <t xml:space="preserve">OP-HW</t>
  </si>
  <si>
    <t xml:space="preserve">手轮</t>
  </si>
  <si>
    <r>
      <rPr>
        <sz val="9"/>
        <rFont val="微软雅黑"/>
        <family val="0"/>
        <charset val="1"/>
      </rPr>
      <t xml:space="preserve">Ø140 × 19</t>
    </r>
    <r>
      <rPr>
        <sz val="9"/>
        <rFont val="Noto Sans CJK SC"/>
        <family val="2"/>
      </rPr>
      <t xml:space="preserve">；中心 </t>
    </r>
    <r>
      <rPr>
        <sz val="9"/>
        <rFont val="微软雅黑"/>
        <family val="0"/>
        <charset val="1"/>
      </rPr>
      <t xml:space="preserve">EL.+3090</t>
    </r>
    <r>
      <rPr>
        <sz val="9"/>
        <rFont val="Noto Sans CJK SC"/>
        <family val="2"/>
      </rPr>
      <t xml:space="preserve">，全部位于同一操作面</t>
    </r>
  </si>
  <si>
    <t xml:space="preserve">GA-08</t>
  </si>
  <si>
    <t xml:space="preserve">不接受链条（chain-wheel）阀</t>
  </si>
  <si>
    <t xml:space="preserve">G</t>
  </si>
  <si>
    <t xml:space="preserve">穿甲板快接法兰（本次供货 40 只）</t>
  </si>
  <si>
    <t xml:space="preserve">QCF-DLC</t>
  </si>
  <si>
    <t xml:space="preserve">穿甲板快接法兰（DLC）</t>
  </si>
  <si>
    <r>
      <rPr>
        <sz val="9"/>
        <rFont val="微软雅黑"/>
        <family val="0"/>
        <charset val="1"/>
      </rPr>
      <t xml:space="preserve">Ø166.2 × 115</t>
    </r>
    <r>
      <rPr>
        <sz val="9"/>
        <rFont val="Noto Sans CJK SC"/>
        <family val="2"/>
      </rPr>
      <t xml:space="preserve">；法兰面 </t>
    </r>
    <r>
      <rPr>
        <sz val="9"/>
        <rFont val="微软雅黑"/>
        <family val="0"/>
        <charset val="1"/>
      </rPr>
      <t xml:space="preserve">EL.+2938</t>
    </r>
  </si>
  <si>
    <t xml:space="preserve">GA-07</t>
  </si>
  <si>
    <t xml:space="preserve">含密封垫、压紧法兰、紧固件</t>
  </si>
  <si>
    <t xml:space="preserve">QCF-CW</t>
  </si>
  <si>
    <t xml:space="preserve">穿甲板快接法兰（列间空调）</t>
  </si>
  <si>
    <r>
      <rPr>
        <sz val="9"/>
        <rFont val="微软雅黑"/>
        <family val="0"/>
        <charset val="1"/>
      </rPr>
      <t xml:space="preserve">Ø138.4 × 115</t>
    </r>
    <r>
      <rPr>
        <sz val="9"/>
        <rFont val="Noto Sans CJK SC"/>
        <family val="2"/>
      </rPr>
      <t xml:space="preserve">；法兰面 </t>
    </r>
    <r>
      <rPr>
        <sz val="9"/>
        <rFont val="微软雅黑"/>
        <family val="0"/>
        <charset val="1"/>
      </rPr>
      <t xml:space="preserve">EL.+2938</t>
    </r>
  </si>
  <si>
    <t xml:space="preserve">QCF-CDU-P</t>
  </si>
  <si>
    <t xml:space="preserve">穿甲板快接法兰（CDU 一次侧）</t>
  </si>
  <si>
    <r>
      <rPr>
        <sz val="9"/>
        <rFont val="微软雅黑"/>
        <family val="0"/>
        <charset val="1"/>
      </rPr>
      <t xml:space="preserve">Ø194 × 115</t>
    </r>
    <r>
      <rPr>
        <sz val="9"/>
        <rFont val="Noto Sans CJK SC"/>
        <family val="2"/>
      </rPr>
      <t xml:space="preserve">；法兰面 </t>
    </r>
    <r>
      <rPr>
        <sz val="9"/>
        <rFont val="微软雅黑"/>
        <family val="0"/>
        <charset val="1"/>
      </rPr>
      <t xml:space="preserve">EL.+2938</t>
    </r>
  </si>
  <si>
    <t xml:space="preserve">QCF-CDU-S</t>
  </si>
  <si>
    <t xml:space="preserve">穿甲板快接法兰（CDU 二次侧）</t>
  </si>
  <si>
    <r>
      <rPr>
        <sz val="9"/>
        <rFont val="微软雅黑"/>
        <family val="0"/>
        <charset val="1"/>
      </rPr>
      <t xml:space="preserve">Ø194 × 120</t>
    </r>
    <r>
      <rPr>
        <sz val="9"/>
        <rFont val="Noto Sans CJK SC"/>
        <family val="2"/>
      </rPr>
      <t xml:space="preserve">；法兰面 </t>
    </r>
    <r>
      <rPr>
        <sz val="9"/>
        <rFont val="微软雅黑"/>
        <family val="0"/>
        <charset val="1"/>
      </rPr>
      <t xml:space="preserve">EL.+2938</t>
    </r>
  </si>
  <si>
    <t xml:space="preserve">QCF-FIRE</t>
  </si>
  <si>
    <t xml:space="preserve">消防穿甲板法兰</t>
  </si>
  <si>
    <t xml:space="preserve">Ø146 × 115</t>
  </si>
  <si>
    <r>
      <rPr>
        <sz val="9"/>
        <rFont val="微软雅黑"/>
        <family val="0"/>
        <charset val="1"/>
      </rPr>
      <t xml:space="preserve">2 </t>
    </r>
    <r>
      <rPr>
        <sz val="9"/>
        <rFont val="Noto Sans CJK SC"/>
        <family val="2"/>
      </rPr>
      <t xml:space="preserve">只 </t>
    </r>
    <r>
      <rPr>
        <sz val="9"/>
        <rFont val="微软雅黑"/>
        <family val="0"/>
        <charset val="1"/>
      </rPr>
      <t xml:space="preserve">by others</t>
    </r>
    <r>
      <rPr>
        <sz val="9"/>
        <rFont val="Noto Sans CJK SC"/>
        <family val="2"/>
      </rPr>
      <t xml:space="preserve">，不在本次供货</t>
    </r>
  </si>
  <si>
    <t xml:space="preserve">H</t>
  </si>
  <si>
    <t xml:space="preserve">阀门标识（合计 41 件）</t>
  </si>
  <si>
    <t xml:space="preserve">TAG-PL</t>
  </si>
  <si>
    <t xml:space="preserve">阀门标牌</t>
  </si>
  <si>
    <r>
      <rPr>
        <sz val="9"/>
        <rFont val="微软雅黑"/>
        <family val="0"/>
        <charset val="1"/>
      </rPr>
      <t xml:space="preserve">170 × 110 × δ1.5</t>
    </r>
    <r>
      <rPr>
        <sz val="9"/>
        <rFont val="Noto Sans CJK SC"/>
        <family val="2"/>
      </rPr>
      <t xml:space="preserve">～</t>
    </r>
    <r>
      <rPr>
        <sz val="9"/>
        <rFont val="微软雅黑"/>
        <family val="0"/>
        <charset val="1"/>
      </rPr>
      <t xml:space="preserve">2.0</t>
    </r>
    <r>
      <rPr>
        <sz val="9"/>
        <rFont val="Noto Sans CJK SC"/>
        <family val="2"/>
      </rPr>
      <t xml:space="preserve">；激光打标或蚀刻</t>
    </r>
  </si>
  <si>
    <r>
      <rPr>
        <sz val="9"/>
        <rFont val="微软雅黑"/>
        <family val="0"/>
        <charset val="1"/>
      </rPr>
      <t xml:space="preserve">SS304 </t>
    </r>
    <r>
      <rPr>
        <sz val="9"/>
        <rFont val="Noto Sans CJK SC"/>
        <family val="2"/>
      </rPr>
      <t xml:space="preserve">板；或阳极氧化铝板（报审）</t>
    </r>
  </si>
  <si>
    <t xml:space="preserve">块</t>
  </si>
  <si>
    <t xml:space="preserve">挂装于标牌梁</t>
  </si>
  <si>
    <t xml:space="preserve">TAG-BM</t>
  </si>
  <si>
    <t xml:space="preserve">阀门标牌梁</t>
  </si>
  <si>
    <r>
      <rPr>
        <sz val="9"/>
        <rFont val="微软雅黑"/>
        <family val="0"/>
        <charset val="1"/>
      </rPr>
      <t xml:space="preserve">120 × 120 </t>
    </r>
    <r>
      <rPr>
        <sz val="9"/>
        <rFont val="Noto Sans CJK SC"/>
        <family val="2"/>
      </rPr>
      <t xml:space="preserve">方管，长 </t>
    </r>
    <r>
      <rPr>
        <sz val="9"/>
        <rFont val="微软雅黑"/>
        <family val="0"/>
        <charset val="1"/>
      </rPr>
      <t xml:space="preserve">13416</t>
    </r>
    <r>
      <rPr>
        <sz val="9"/>
        <rFont val="Noto Sans CJK SC"/>
        <family val="2"/>
      </rPr>
      <t xml:space="preserve">；</t>
    </r>
    <r>
      <rPr>
        <sz val="9"/>
        <rFont val="微软雅黑"/>
        <family val="0"/>
        <charset val="1"/>
      </rPr>
      <t xml:space="preserve">EL.+3300…+3420</t>
    </r>
  </si>
  <si>
    <r>
      <rPr>
        <sz val="9"/>
        <rFont val="微软雅黑"/>
        <family val="0"/>
        <charset val="1"/>
      </rPr>
      <t xml:space="preserve">SS304 </t>
    </r>
    <r>
      <rPr>
        <sz val="9"/>
        <rFont val="Noto Sans CJK SC"/>
        <family val="2"/>
      </rPr>
      <t xml:space="preserve">或 </t>
    </r>
    <r>
      <rPr>
        <sz val="9"/>
        <rFont val="微软雅黑"/>
        <family val="0"/>
        <charset val="1"/>
      </rPr>
      <t xml:space="preserve">Q235B </t>
    </r>
    <r>
      <rPr>
        <sz val="9"/>
        <rFont val="Noto Sans CJK SC"/>
        <family val="2"/>
      </rPr>
      <t xml:space="preserve">热浸镀锌（报审）</t>
    </r>
  </si>
  <si>
    <t xml:space="preserve">根</t>
  </si>
  <si>
    <t xml:space="preserve">随系统一体预制</t>
  </si>
  <si>
    <t xml:space="preserve">I</t>
  </si>
  <si>
    <t xml:space="preserve">支吊架（合计 24 付）</t>
  </si>
  <si>
    <t xml:space="preserve">HGR-PRI</t>
  </si>
  <si>
    <t xml:space="preserve">一次侧吊架</t>
  </si>
  <si>
    <r>
      <rPr>
        <sz val="9"/>
        <rFont val="微软雅黑"/>
        <family val="0"/>
        <charset val="1"/>
      </rPr>
      <t xml:space="preserve">M16 </t>
    </r>
    <r>
      <rPr>
        <sz val="9"/>
        <rFont val="Noto Sans CJK SC"/>
        <family val="2"/>
      </rPr>
      <t xml:space="preserve">吊杆 </t>
    </r>
    <r>
      <rPr>
        <sz val="9"/>
        <rFont val="微软雅黑"/>
        <family val="0"/>
        <charset val="1"/>
      </rPr>
      <t xml:space="preserve">Ø18</t>
    </r>
    <r>
      <rPr>
        <sz val="9"/>
        <rFont val="Noto Sans CJK SC"/>
        <family val="2"/>
      </rPr>
      <t xml:space="preserve">（有效长≈</t>
    </r>
    <r>
      <rPr>
        <sz val="9"/>
        <rFont val="微软雅黑"/>
        <family val="0"/>
        <charset val="1"/>
      </rPr>
      <t xml:space="preserve">498</t>
    </r>
    <r>
      <rPr>
        <sz val="9"/>
        <rFont val="Noto Sans CJK SC"/>
        <family val="2"/>
      </rPr>
      <t xml:space="preserve">）</t>
    </r>
    <r>
      <rPr>
        <sz val="9"/>
        <rFont val="微软雅黑"/>
        <family val="0"/>
        <charset val="1"/>
      </rPr>
      <t xml:space="preserve">+ Ø215 </t>
    </r>
    <r>
      <rPr>
        <sz val="9"/>
        <rFont val="Noto Sans CJK SC"/>
        <family val="2"/>
      </rPr>
      <t xml:space="preserve">管夹（宽</t>
    </r>
    <r>
      <rPr>
        <sz val="9"/>
        <rFont val="微软雅黑"/>
        <family val="0"/>
        <charset val="1"/>
      </rPr>
      <t xml:space="preserve">45</t>
    </r>
    <r>
      <rPr>
        <sz val="9"/>
        <rFont val="Noto Sans CJK SC"/>
        <family val="2"/>
      </rPr>
      <t xml:space="preserve">）</t>
    </r>
    <r>
      <rPr>
        <sz val="9"/>
        <rFont val="微软雅黑"/>
        <family val="0"/>
        <charset val="1"/>
      </rPr>
      <t xml:space="preserve">+ </t>
    </r>
    <r>
      <rPr>
        <sz val="9"/>
        <rFont val="Noto Sans CJK SC"/>
        <family val="2"/>
      </rPr>
      <t xml:space="preserve">吊耳 </t>
    </r>
    <r>
      <rPr>
        <sz val="9"/>
        <rFont val="微软雅黑"/>
        <family val="0"/>
        <charset val="1"/>
      </rPr>
      <t xml:space="preserve">46×82×50 + </t>
    </r>
    <r>
      <rPr>
        <sz val="9"/>
        <rFont val="Noto Sans CJK SC"/>
        <family val="2"/>
      </rPr>
      <t xml:space="preserve">螺母</t>
    </r>
  </si>
  <si>
    <t xml:space="preserve">接触部位 SS304/SS316L 或镀锌+隔离衬垫；紧固件 A2-70/A4-70</t>
  </si>
  <si>
    <t xml:space="preserve">付</t>
  </si>
  <si>
    <t xml:space="preserve">GA-06</t>
  </si>
  <si>
    <t xml:space="preserve">生根舱顶 EL.+4216，跨距 2810</t>
  </si>
  <si>
    <t xml:space="preserve">STD-HT</t>
  </si>
  <si>
    <r>
      <rPr>
        <sz val="9"/>
        <rFont val="微软雅黑"/>
        <family val="0"/>
        <charset val="1"/>
      </rPr>
      <t xml:space="preserve">HT </t>
    </r>
    <r>
      <rPr>
        <sz val="9"/>
        <rFont val="Noto Sans CJK SC"/>
        <family val="2"/>
      </rPr>
      <t xml:space="preserve">落地支架</t>
    </r>
  </si>
  <si>
    <t xml:space="preserve">立柱 60×60×396 + 底板 120×120×10 + 双臂 60×30，托 OD134</t>
  </si>
  <si>
    <t xml:space="preserve">生根甲板面 EL.+2938</t>
  </si>
  <si>
    <t xml:space="preserve">STD-LT</t>
  </si>
  <si>
    <r>
      <rPr>
        <sz val="9"/>
        <rFont val="微软雅黑"/>
        <family val="0"/>
        <charset val="1"/>
      </rPr>
      <t xml:space="preserve">LT </t>
    </r>
    <r>
      <rPr>
        <sz val="9"/>
        <rFont val="Noto Sans CJK SC"/>
        <family val="2"/>
      </rPr>
      <t xml:space="preserve">落地支架</t>
    </r>
  </si>
  <si>
    <t xml:space="preserve">立柱 60×60×451 + 底板 120×120×10 + 双臂 60×30</t>
  </si>
  <si>
    <t xml:space="preserve">生根甲板面 EL.+2945</t>
  </si>
  <si>
    <t xml:space="preserve">J</t>
  </si>
  <si>
    <t xml:space="preserve">附件、试验、包装与服务</t>
  </si>
  <si>
    <t xml:space="preserve">ACC-1</t>
  </si>
  <si>
    <t xml:space="preserve">密封件、紧固件、防松件</t>
  </si>
  <si>
    <t xml:space="preserve">成套；材质与冷却介质相容并注明牌号</t>
  </si>
  <si>
    <t xml:space="preserve">ACC-2</t>
  </si>
  <si>
    <t xml:space="preserve">绝热</t>
  </si>
  <si>
    <t xml:space="preserve">材质、厚度、外护与防凝露计算由厂家提出</t>
  </si>
  <si>
    <t xml:space="preserve">【含 / 不含 两案单独报价】</t>
  </si>
  <si>
    <t xml:space="preserve">ACC-3</t>
  </si>
  <si>
    <t xml:space="preserve">色标与管道标识</t>
  </si>
  <si>
    <t xml:space="preserve">按供/回、高温/低温、一次/二次分色；报审后执行</t>
  </si>
  <si>
    <t xml:space="preserve">TST-1</t>
  </si>
  <si>
    <t xml:space="preserve">出厂试验</t>
  </si>
  <si>
    <t xml:space="preserve">水压 1.5×设计压力保压 30 min；气密；焊接 100% 目视 + 10% 无损</t>
  </si>
  <si>
    <t xml:space="preserve">逐回路出具报告</t>
  </si>
  <si>
    <t xml:space="preserve">TST-2</t>
  </si>
  <si>
    <t xml:space="preserve">二次侧清洗与封存</t>
  </si>
  <si>
    <t xml:space="preserve">冲洗吹扫至 ISO 4406 −/18/15 或等效；双端封堵、充氮或封盖</t>
  </si>
  <si>
    <t xml:space="preserve">说明工艺与检测手段</t>
  </si>
  <si>
    <t xml:space="preserve">TST-3</t>
  </si>
  <si>
    <t xml:space="preserve">预装配试验</t>
  </si>
  <si>
    <r>
      <rPr>
        <sz val="9"/>
        <rFont val="微软雅黑"/>
        <family val="0"/>
        <charset val="1"/>
      </rPr>
      <t xml:space="preserve">40 </t>
    </r>
    <r>
      <rPr>
        <sz val="9"/>
        <rFont val="Noto Sans CJK SC"/>
        <family val="2"/>
      </rPr>
      <t xml:space="preserve">只穿甲板法兰与 </t>
    </r>
    <r>
      <rPr>
        <sz val="9"/>
        <rFont val="微软雅黑"/>
        <family val="0"/>
        <charset val="1"/>
      </rPr>
      <t xml:space="preserve">MDCX </t>
    </r>
    <r>
      <rPr>
        <sz val="9"/>
        <rFont val="Noto Sans CJK SC"/>
        <family val="2"/>
      </rPr>
      <t xml:space="preserve">对接样件试插，一次对中率 </t>
    </r>
    <r>
      <rPr>
        <sz val="9"/>
        <rFont val="微软雅黑"/>
        <family val="0"/>
        <charset val="1"/>
      </rPr>
      <t xml:space="preserve">100%</t>
    </r>
  </si>
  <si>
    <t xml:space="preserve">PKG-1</t>
  </si>
  <si>
    <t xml:space="preserve">整体发货包装与运输</t>
  </si>
  <si>
    <t xml:space="preserve">运输工况固定与减振设计 + 校核报告；管口封堵；装箱单与吊装标识</t>
  </si>
  <si>
    <t xml:space="preserve">至浙江嘉兴海盐 世赫 3# 厂房</t>
  </si>
  <si>
    <t xml:space="preserve">SVC-1</t>
  </si>
  <si>
    <t xml:space="preserve">现场配合安装与测试服务</t>
  </si>
  <si>
    <t xml:space="preserve">派驻技术人员至海盐厂房，配合安装、对接、试压、冲洗、调试与联合验收</t>
  </si>
  <si>
    <t xml:space="preserve">人天</t>
  </si>
  <si>
    <t xml:space="preserve">【人天数由贵司填报】响应时间/是否含差旅须注明</t>
  </si>
  <si>
    <t xml:space="preserve">SPR-1</t>
  </si>
  <si>
    <t xml:space="preserve">随机备件与专用工具</t>
  </si>
  <si>
    <t xml:space="preserve">建议清单由厂家提出</t>
  </si>
  <si>
    <t xml:space="preserve">合计（元，含税）</t>
  </si>
  <si>
    <t xml:space="preserve">示例行（格式示意，请勿计入报价）：</t>
  </si>
  <si>
    <t xml:space="preserve">例</t>
  </si>
  <si>
    <r>
      <rPr>
        <i val="true"/>
        <sz val="9"/>
        <color rgb="FF808080"/>
        <rFont val="微软雅黑"/>
        <family val="0"/>
        <charset val="1"/>
      </rPr>
      <t xml:space="preserve">SS316L</t>
    </r>
    <r>
      <rPr>
        <i val="true"/>
        <sz val="9"/>
        <color rgb="FF808080"/>
        <rFont val="Noto Sans CJK SC"/>
        <family val="2"/>
      </rPr>
      <t xml:space="preserve">（</t>
    </r>
    <r>
      <rPr>
        <i val="true"/>
        <sz val="9"/>
        <color rgb="FF808080"/>
        <rFont val="微软雅黑"/>
        <family val="0"/>
        <charset val="1"/>
      </rPr>
      <t xml:space="preserve">CF3M</t>
    </r>
    <r>
      <rPr>
        <i val="true"/>
        <sz val="9"/>
        <color rgb="FF808080"/>
        <rFont val="Noto Sans CJK SC"/>
        <family val="2"/>
      </rPr>
      <t xml:space="preserve">）</t>
    </r>
  </si>
  <si>
    <r>
      <rPr>
        <i val="true"/>
        <sz val="9"/>
        <color rgb="FF808080"/>
        <rFont val="微软雅黑"/>
        <family val="0"/>
        <charset val="1"/>
      </rPr>
      <t xml:space="preserve">δ3.0</t>
    </r>
    <r>
      <rPr>
        <i val="true"/>
        <sz val="9"/>
        <color rgb="FF808080"/>
        <rFont val="Noto Sans CJK SC"/>
        <family val="2"/>
      </rPr>
      <t xml:space="preserve">；</t>
    </r>
    <r>
      <rPr>
        <i val="true"/>
        <sz val="9"/>
        <color rgb="FF808080"/>
        <rFont val="微软雅黑"/>
        <family val="0"/>
        <charset val="1"/>
      </rPr>
      <t xml:space="preserve">SS316L</t>
    </r>
    <r>
      <rPr>
        <i val="true"/>
        <sz val="9"/>
        <color rgb="FF808080"/>
        <rFont val="Noto Sans CJK SC"/>
        <family val="2"/>
      </rPr>
      <t xml:space="preserve">；</t>
    </r>
    <r>
      <rPr>
        <i val="true"/>
        <sz val="9"/>
        <color rgb="FF808080"/>
        <rFont val="微软雅黑"/>
        <family val="0"/>
        <charset val="1"/>
      </rPr>
      <t xml:space="preserve">PN16</t>
    </r>
    <r>
      <rPr>
        <i val="true"/>
        <sz val="9"/>
        <color rgb="FF808080"/>
        <rFont val="Noto Sans CJK SC"/>
        <family val="2"/>
      </rPr>
      <t xml:space="preserve">；对夹式；</t>
    </r>
    <r>
      <rPr>
        <i val="true"/>
        <sz val="9"/>
        <color rgb="FF808080"/>
        <rFont val="微软雅黑"/>
        <family val="0"/>
        <charset val="1"/>
      </rPr>
      <t xml:space="preserve">XX </t>
    </r>
    <r>
      <rPr>
        <i val="true"/>
        <sz val="9"/>
        <color rgb="FF808080"/>
        <rFont val="Noto Sans CJK SC"/>
        <family val="2"/>
      </rPr>
      <t xml:space="preserve">牌 </t>
    </r>
    <r>
      <rPr>
        <i val="true"/>
        <sz val="9"/>
        <color rgb="FF808080"/>
        <rFont val="微软雅黑"/>
        <family val="0"/>
        <charset val="1"/>
      </rPr>
      <t xml:space="preserve">XXX </t>
    </r>
    <r>
      <rPr>
        <i val="true"/>
        <sz val="9"/>
        <color rgb="FF808080"/>
        <rFont val="Noto Sans CJK SC"/>
        <family val="2"/>
      </rPr>
      <t xml:space="preserve">型</t>
    </r>
  </si>
  <si>
    <t xml:space="preserve">交期 45 天</t>
  </si>
  <si>
    <r>
      <rPr>
        <b val="true"/>
        <sz val="14"/>
        <rFont val="微软雅黑"/>
        <family val="0"/>
        <charset val="1"/>
      </rPr>
      <t xml:space="preserve">RFI-PIP-001 Rev.1</t>
    </r>
    <r>
      <rPr>
        <b val="true"/>
        <sz val="14"/>
        <rFont val="Noto Sans CJK SC"/>
        <family val="2"/>
      </rPr>
      <t xml:space="preserve">　随附图纸与文件清单</t>
    </r>
  </si>
  <si>
    <t xml:space="preserve">本清单文件与本响应文件同批提交。原 RFI-PIP-001 Rev.0 所附单张 GA 图（DC45_TopAddon_Piping_RFI_GA）作废，以 Rev.1 全套图纸为准。</t>
  </si>
  <si>
    <t xml:space="preserve">文件 / 图号</t>
  </si>
  <si>
    <t xml:space="preserve">格式 / 比例</t>
  </si>
  <si>
    <t xml:space="preserve">说明</t>
  </si>
  <si>
    <t xml:space="preserve">一、图纸（Rev.1，共 8 张 A1）</t>
  </si>
  <si>
    <t xml:space="preserve">MDCX-DC45-PIP-GA-01</t>
  </si>
  <si>
    <t xml:space="preserve">管路舱 平面图 / 立面图 1/3（X 0—4700）</t>
  </si>
  <si>
    <r>
      <rPr>
        <sz val="9"/>
        <rFont val="微软雅黑"/>
        <family val="0"/>
        <charset val="1"/>
      </rPr>
      <t xml:space="preserve">DXF + PDF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1:8</t>
    </r>
  </si>
  <si>
    <t xml:space="preserve">分层：管道 / 阀门 / 法兰 / 甲板法兰 / 支吊架 / 标牌</t>
  </si>
  <si>
    <t xml:space="preserve">MDCX-DC45-PIP-GA-02</t>
  </si>
  <si>
    <t xml:space="preserve">管路舱 平面图 / 立面图 2/3（X 4600—9300）</t>
  </si>
  <si>
    <t xml:space="preserve">MDCX-DC45-PIP-GA-03</t>
  </si>
  <si>
    <t xml:space="preserve">管路舱 平面图 / 立面图 3/3（X 9200—13900）</t>
  </si>
  <si>
    <t xml:space="preserve">MDCX-DC45-PIP-GA-04</t>
  </si>
  <si>
    <t xml:space="preserve">典型断面 (1/2)：A-A DLC 下引 / B-B CW 下引 / C-C CDU 接入</t>
  </si>
  <si>
    <r>
      <rPr>
        <sz val="9"/>
        <rFont val="微软雅黑"/>
        <family val="0"/>
        <charset val="1"/>
      </rPr>
      <t xml:space="preserve">DXF + PDF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1:5</t>
    </r>
  </si>
  <si>
    <t xml:space="preserve">逐件构造与标高，含断面共同说明</t>
  </si>
  <si>
    <t xml:space="preserve">MDCX-DC45-PIP-GA-05</t>
  </si>
  <si>
    <t xml:space="preserve">典型断面 (2/2)：D-D LT 总管隔离阀 / E-E LT 旁通止回 + 管道表 + 阀门表</t>
  </si>
  <si>
    <t xml:space="preserve">管道表与阀门表可直接对照清单</t>
  </si>
  <si>
    <t xml:space="preserve">MDCX-DC45-PIP-GA-06</t>
  </si>
  <si>
    <t xml:space="preserve">支吊架详图：一次侧吊架 / HT 落地支架 / LT 落地支架</t>
  </si>
  <si>
    <r>
      <rPr>
        <sz val="9"/>
        <rFont val="微软雅黑"/>
        <family val="0"/>
        <charset val="1"/>
      </rPr>
      <t xml:space="preserve">DXF + PDF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1:2.5</t>
    </r>
  </si>
  <si>
    <t xml:space="preserve">含支吊架统计表与材质要求</t>
  </si>
  <si>
    <t xml:space="preserve">MDCX-DC45-PIP-GA-07</t>
  </si>
  <si>
    <t xml:space="preserve">甲板开孔与穿甲板快接法兰定位图</t>
  </si>
  <si>
    <r>
      <rPr>
        <sz val="9"/>
        <rFont val="微软雅黑"/>
        <family val="0"/>
        <charset val="1"/>
      </rPr>
      <t xml:space="preserve">DXF + PDF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1:20</t>
    </r>
  </si>
  <si>
    <t xml:space="preserve">附 42 只法兰位号 / 外径 / 高 / X / Y 坐标表</t>
  </si>
  <si>
    <t xml:space="preserve">MDCX-DC45-PIP-GA-08</t>
  </si>
  <si>
    <t xml:space="preserve">阀门操作面立面 · 阀牌详图 · 图例与图纸说明</t>
  </si>
  <si>
    <r>
      <rPr>
        <sz val="9"/>
        <rFont val="微软雅黑"/>
        <family val="0"/>
        <charset val="1"/>
      </rPr>
      <t xml:space="preserve">DXF + PDF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1:20 / 1:2</t>
    </r>
  </si>
  <si>
    <t xml:space="preserve">含 11 条图纸说明与图层图例</t>
  </si>
  <si>
    <t xml:space="preserve">DC45_TopAddon_Piping_GA_Rev1.pdf</t>
  </si>
  <si>
    <t xml:space="preserve">以上 8 张合订 PDF</t>
  </si>
  <si>
    <r>
      <rPr>
        <sz val="9"/>
        <rFont val="微软雅黑"/>
        <family val="0"/>
        <charset val="1"/>
      </rPr>
      <t xml:space="preserve">PDF</t>
    </r>
    <r>
      <rPr>
        <sz val="9"/>
        <rFont val="Noto Sans CJK SC"/>
        <family val="2"/>
      </rPr>
      <t xml:space="preserve">，</t>
    </r>
    <r>
      <rPr>
        <sz val="9"/>
        <rFont val="微软雅黑"/>
        <family val="0"/>
        <charset val="1"/>
      </rPr>
      <t xml:space="preserve">A1</t>
    </r>
    <r>
      <rPr>
        <sz val="9"/>
        <rFont val="Noto Sans CJK SC"/>
        <family val="2"/>
      </rPr>
      <t xml:space="preserve">，矢量</t>
    </r>
  </si>
  <si>
    <t xml:space="preserve">可无损放大打印</t>
  </si>
  <si>
    <t xml:space="preserve">二、三维模型</t>
  </si>
  <si>
    <t xml:space="preserve">DC45_TopAddon_Piping_RFI_step.zip</t>
  </si>
  <si>
    <t xml:space="preserve">管路系统 STEP AP214 装配体</t>
  </si>
  <si>
    <r>
      <rPr>
        <sz val="9"/>
        <rFont val="微软雅黑"/>
        <family val="0"/>
        <charset val="1"/>
      </rPr>
      <t xml:space="preserve">STEP AP214</t>
    </r>
    <r>
      <rPr>
        <sz val="9"/>
        <rFont val="Noto Sans CJK SC"/>
        <family val="2"/>
      </rPr>
      <t xml:space="preserve">（解压约 </t>
    </r>
    <r>
      <rPr>
        <sz val="9"/>
        <rFont val="微软雅黑"/>
        <family val="0"/>
        <charset val="1"/>
      </rPr>
      <t xml:space="preserve">66 MB</t>
    </r>
    <r>
      <rPr>
        <sz val="9"/>
        <rFont val="Noto Sans CJK SC"/>
        <family val="2"/>
      </rPr>
      <t xml:space="preserve">）</t>
    </r>
  </si>
  <si>
    <r>
      <rPr>
        <sz val="9"/>
        <rFont val="微软雅黑"/>
        <family val="0"/>
        <charset val="1"/>
      </rPr>
      <t xml:space="preserve">662 </t>
    </r>
    <r>
      <rPr>
        <sz val="9"/>
        <rFont val="Noto Sans CJK SC"/>
        <family val="2"/>
      </rPr>
      <t xml:space="preserve">实体，带装配树与颜色，</t>
    </r>
    <r>
      <rPr>
        <sz val="9"/>
        <rFont val="微软雅黑"/>
        <family val="0"/>
        <charset val="1"/>
      </rPr>
      <t xml:space="preserve">mm</t>
    </r>
    <r>
      <rPr>
        <sz val="9"/>
        <rFont val="Noto Sans CJK SC"/>
        <family val="2"/>
      </rPr>
      <t xml:space="preserve">，模块坐标系；【几何最终判据】</t>
    </r>
  </si>
  <si>
    <t xml:space="preserve">DC45_TopAddon_Piping_RFI.blend</t>
  </si>
  <si>
    <r>
      <rPr>
        <sz val="9"/>
        <rFont val="微软雅黑"/>
        <family val="0"/>
        <charset val="1"/>
      </rPr>
      <t xml:space="preserve">Blender </t>
    </r>
    <r>
      <rPr>
        <sz val="9"/>
        <rFont val="Noto Sans CJK SC"/>
        <family val="2"/>
      </rPr>
      <t xml:space="preserve">三维模型（仅含询价范围）</t>
    </r>
  </si>
  <si>
    <t xml:space="preserve">.blend</t>
  </si>
  <si>
    <t xml:space="preserve">父级已烘焙，保留世界坐标，按 8 个总成分集合</t>
  </si>
  <si>
    <t xml:space="preserve">三、文件</t>
  </si>
  <si>
    <t xml:space="preserve">RFI-PIP-001 Rev.0</t>
  </si>
  <si>
    <t xml:space="preserve">管路系统询价与技术要求</t>
  </si>
  <si>
    <t xml:space="preserve">PDF / HTML / MD</t>
  </si>
  <si>
    <t xml:space="preserve">技术要求正文；本响应文件为其澄清补充</t>
  </si>
  <si>
    <t xml:space="preserve">本文件</t>
  </si>
  <si>
    <t xml:space="preserve">澄清答疑响应文件（含设备材料清单）</t>
  </si>
  <si>
    <t xml:space="preserve">XLSX</t>
  </si>
  <si>
    <t xml:space="preserve">答疑表 + 设备材料清单 + 本清单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</si>
</sst>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27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微软雅黑"/>
      <family val="0"/>
      <charset val="134"/>
    </font>
    <font>
      <b val="true"/>
      <sz val="13"/>
      <color rgb="FF1F3864"/>
      <name val="Noto Sans CJK SC"/>
      <family val="2"/>
    </font>
    <font>
      <b val="true"/>
      <sz val="13"/>
      <color rgb="FF1F3864"/>
      <name val="微软雅黑"/>
      <family val="0"/>
      <charset val="1"/>
    </font>
    <font>
      <b val="true"/>
      <sz val="11"/>
      <color rgb="FFFFFFFF"/>
      <name val="Noto Sans CJK SC"/>
      <family val="2"/>
      <charset val="1"/>
    </font>
    <font>
      <sz val="12"/>
      <color rgb="FF000000"/>
      <name val="微软雅黑"/>
      <family val="0"/>
      <charset val="134"/>
    </font>
    <font>
      <sz val="10"/>
      <color rgb="FF000000"/>
      <name val="Noto Sans CJK SC"/>
      <family val="2"/>
      <charset val="1"/>
    </font>
    <font>
      <sz val="10"/>
      <name val="微软雅黑"/>
      <family val="0"/>
      <charset val="1"/>
    </font>
    <font>
      <sz val="10"/>
      <name val="Noto Sans CJK SC"/>
      <family val="2"/>
      <charset val="1"/>
    </font>
    <font>
      <sz val="10"/>
      <color rgb="FF000000"/>
      <name val="Noto Sans CJK SC"/>
      <family val="2"/>
    </font>
    <font>
      <sz val="10"/>
      <name val="Noto Sans CJK SC"/>
      <family val="2"/>
    </font>
    <font>
      <b val="true"/>
      <sz val="14"/>
      <name val="微软雅黑"/>
      <family val="0"/>
      <charset val="1"/>
    </font>
    <font>
      <b val="true"/>
      <sz val="14"/>
      <name val="Noto Sans CJK SC"/>
      <family val="2"/>
    </font>
    <font>
      <sz val="10"/>
      <color rgb="FFC0000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name val="微软雅黑"/>
      <family val="0"/>
      <charset val="1"/>
    </font>
    <font>
      <b val="true"/>
      <sz val="10"/>
      <name val="Noto Sans CJK SC"/>
      <family val="2"/>
      <charset val="1"/>
    </font>
    <font>
      <sz val="9"/>
      <name val="微软雅黑"/>
      <family val="0"/>
      <charset val="1"/>
    </font>
    <font>
      <sz val="9"/>
      <name val="Noto Sans CJK SC"/>
      <family val="2"/>
      <charset val="1"/>
    </font>
    <font>
      <sz val="9"/>
      <name val="Noto Sans CJK SC"/>
      <family val="2"/>
    </font>
    <font>
      <b val="true"/>
      <sz val="9"/>
      <color rgb="FF808080"/>
      <name val="Noto Sans CJK SC"/>
      <family val="2"/>
      <charset val="1"/>
    </font>
    <font>
      <i val="true"/>
      <sz val="9"/>
      <color rgb="FF808080"/>
      <name val="Noto Sans CJK SC"/>
      <family val="2"/>
      <charset val="1"/>
    </font>
    <font>
      <i val="true"/>
      <sz val="9"/>
      <color rgb="FF808080"/>
      <name val="微软雅黑"/>
      <family val="0"/>
      <charset val="1"/>
    </font>
    <font>
      <i val="true"/>
      <sz val="9"/>
      <color rgb="FF80808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146520</xdr:colOff>
      <xdr:row>7</xdr:row>
      <xdr:rowOff>15840</xdr:rowOff>
    </xdr:from>
    <xdr:to>
      <xdr:col>4</xdr:col>
      <xdr:colOff>1897200</xdr:colOff>
      <xdr:row>7</xdr:row>
      <xdr:rowOff>351000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3657960" y="10979280"/>
          <a:ext cx="5166360" cy="335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1788840</xdr:colOff>
      <xdr:row>8</xdr:row>
      <xdr:rowOff>291600</xdr:rowOff>
    </xdr:from>
    <xdr:to>
      <xdr:col>4</xdr:col>
      <xdr:colOff>1929600</xdr:colOff>
      <xdr:row>8</xdr:row>
      <xdr:rowOff>507240</xdr:rowOff>
    </xdr:to>
    <xdr:pic>
      <xdr:nvPicPr>
        <xdr:cNvPr id="1" name="图片 2" descr=""/>
        <xdr:cNvPicPr/>
      </xdr:nvPicPr>
      <xdr:blipFill>
        <a:blip r:embed="rId2"/>
        <a:stretch/>
      </xdr:blipFill>
      <xdr:spPr>
        <a:xfrm>
          <a:off x="3179520" y="14855400"/>
          <a:ext cx="5677200" cy="2156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3</xdr:col>
      <xdr:colOff>252000</xdr:colOff>
      <xdr:row>9</xdr:row>
      <xdr:rowOff>189720</xdr:rowOff>
    </xdr:from>
    <xdr:to>
      <xdr:col>4</xdr:col>
      <xdr:colOff>1941120</xdr:colOff>
      <xdr:row>9</xdr:row>
      <xdr:rowOff>577080</xdr:rowOff>
    </xdr:to>
    <xdr:pic>
      <xdr:nvPicPr>
        <xdr:cNvPr id="2" name="图片 3" descr=""/>
        <xdr:cNvPicPr/>
      </xdr:nvPicPr>
      <xdr:blipFill>
        <a:blip r:embed="rId3"/>
        <a:stretch/>
      </xdr:blipFill>
      <xdr:spPr>
        <a:xfrm>
          <a:off x="3763440" y="17467920"/>
          <a:ext cx="5104800" cy="387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3</xdr:col>
      <xdr:colOff>239400</xdr:colOff>
      <xdr:row>9</xdr:row>
      <xdr:rowOff>667440</xdr:rowOff>
    </xdr:from>
    <xdr:to>
      <xdr:col>5</xdr:col>
      <xdr:colOff>48960</xdr:colOff>
      <xdr:row>11</xdr:row>
      <xdr:rowOff>30960</xdr:rowOff>
    </xdr:to>
    <xdr:pic>
      <xdr:nvPicPr>
        <xdr:cNvPr id="3" name="图片 4" descr=""/>
        <xdr:cNvPicPr/>
      </xdr:nvPicPr>
      <xdr:blipFill>
        <a:blip r:embed="rId4"/>
        <a:stretch/>
      </xdr:blipFill>
      <xdr:spPr>
        <a:xfrm>
          <a:off x="3750840" y="17945640"/>
          <a:ext cx="5601600" cy="692640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13"/>
  <sheetViews>
    <sheetView showFormulas="false" showGridLines="true" showRowColHeaders="true" showZeros="true" rightToLeft="false" tabSelected="true" showOutlineSymbols="true" defaultGridColor="true" view="normal" topLeftCell="D5" colorId="64" zoomScale="100" zoomScaleNormal="100" zoomScalePageLayoutView="100" workbookViewId="0">
      <pane xSplit="0" ySplit="2" topLeftCell="A3" activePane="bottomLeft" state="frozen"/>
      <selection pane="topLeft" activeCell="D5" activeCellId="0" sqref="D5"/>
      <selection pane="bottomLeft" activeCell="F9" activeCellId="0" sqref="F9"/>
    </sheetView>
  </sheetViews>
  <sheetFormatPr defaultColWidth="10" defaultRowHeight="15" zeroHeight="false" outlineLevelRow="0" outlineLevelCol="0"/>
  <cols>
    <col collapsed="false" customWidth="true" hidden="false" outlineLevel="0" max="1" min="1" style="1" width="5.16"/>
    <col collapsed="false" customWidth="true" hidden="false" outlineLevel="0" max="2" min="2" style="1" width="9.16"/>
    <col collapsed="false" customWidth="true" hidden="false" outlineLevel="0" max="3" min="3" style="1" width="21.83"/>
    <col collapsed="false" customWidth="true" hidden="false" outlineLevel="0" max="4" min="4" style="1" width="35.16"/>
    <col collapsed="false" customWidth="true" hidden="false" outlineLevel="0" max="5" min="5" style="1" width="24.46"/>
    <col collapsed="false" customWidth="true" hidden="false" outlineLevel="0" max="6" min="6" style="2" width="67.66"/>
    <col collapsed="false" customWidth="true" hidden="false" outlineLevel="0" max="7" min="7" style="1" width="95"/>
    <col collapsed="false" customWidth="true" hidden="false" outlineLevel="0" max="8" min="8" style="1" width="30"/>
    <col collapsed="false" customWidth="true" hidden="false" outlineLevel="0" max="9" min="9" style="1" width="11"/>
    <col collapsed="false" customWidth="true" hidden="false" outlineLevel="0" max="40" min="10" style="1" width="9"/>
  </cols>
  <sheetData>
    <row r="1" customFormat="false" ht="25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s="5" customFormat="true" ht="16.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customFormat="false" ht="186" hidden="false" customHeight="true" outlineLevel="0" collapsed="false">
      <c r="A3" s="6" t="n">
        <v>2</v>
      </c>
      <c r="B3" s="7" t="n">
        <v>46272</v>
      </c>
      <c r="C3" s="8" t="s">
        <v>9</v>
      </c>
      <c r="D3" s="6" t="s">
        <v>10</v>
      </c>
      <c r="E3" s="9"/>
      <c r="F3" s="8" t="s">
        <v>11</v>
      </c>
      <c r="G3" s="10" t="s">
        <v>12</v>
      </c>
      <c r="H3" s="10" t="s">
        <v>13</v>
      </c>
    </row>
    <row r="4" customFormat="false" ht="186" hidden="false" customHeight="true" outlineLevel="0" collapsed="false">
      <c r="A4" s="6" t="n">
        <v>3</v>
      </c>
      <c r="B4" s="7" t="n">
        <v>46272</v>
      </c>
      <c r="C4" s="8" t="s">
        <v>9</v>
      </c>
      <c r="D4" s="6" t="s">
        <v>14</v>
      </c>
      <c r="E4" s="6"/>
      <c r="F4" s="8" t="s">
        <v>11</v>
      </c>
      <c r="G4" s="10" t="s">
        <v>12</v>
      </c>
      <c r="H4" s="10" t="s">
        <v>15</v>
      </c>
    </row>
    <row r="5" customFormat="false" ht="120" hidden="false" customHeight="true" outlineLevel="0" collapsed="false">
      <c r="A5" s="6" t="n">
        <v>4</v>
      </c>
      <c r="B5" s="7" t="n">
        <v>46272</v>
      </c>
      <c r="C5" s="8" t="s">
        <v>16</v>
      </c>
      <c r="D5" s="6" t="s">
        <v>17</v>
      </c>
      <c r="E5" s="6"/>
      <c r="F5" s="8" t="s">
        <v>18</v>
      </c>
      <c r="G5" s="10" t="s">
        <v>19</v>
      </c>
      <c r="H5" s="10" t="s">
        <v>20</v>
      </c>
    </row>
    <row r="6" customFormat="false" ht="157.5" hidden="false" customHeight="true" outlineLevel="0" collapsed="false">
      <c r="A6" s="6" t="n">
        <v>5</v>
      </c>
      <c r="B6" s="7" t="n">
        <v>46272</v>
      </c>
      <c r="C6" s="8" t="s">
        <v>16</v>
      </c>
      <c r="D6" s="6" t="s">
        <v>17</v>
      </c>
      <c r="E6" s="6"/>
      <c r="F6" s="8" t="s">
        <v>21</v>
      </c>
      <c r="G6" s="10" t="s">
        <v>22</v>
      </c>
      <c r="H6" s="10" t="s">
        <v>23</v>
      </c>
    </row>
    <row r="7" customFormat="false" ht="171.75" hidden="false" customHeight="true" outlineLevel="0" collapsed="false">
      <c r="A7" s="6" t="n">
        <v>6</v>
      </c>
      <c r="B7" s="7" t="n">
        <v>46272</v>
      </c>
      <c r="C7" s="8" t="s">
        <v>16</v>
      </c>
      <c r="D7" s="6" t="s">
        <v>17</v>
      </c>
      <c r="E7" s="6"/>
      <c r="F7" s="8" t="s">
        <v>24</v>
      </c>
      <c r="G7" s="10" t="s">
        <v>25</v>
      </c>
      <c r="H7" s="10" t="s">
        <v>26</v>
      </c>
    </row>
    <row r="8" customFormat="false" ht="283.5" hidden="false" customHeight="true" outlineLevel="0" collapsed="false">
      <c r="A8" s="6" t="n">
        <v>7</v>
      </c>
      <c r="B8" s="7" t="n">
        <v>46272</v>
      </c>
      <c r="C8" s="8" t="s">
        <v>16</v>
      </c>
      <c r="D8" s="6"/>
      <c r="E8" s="6"/>
      <c r="F8" s="8" t="s">
        <v>27</v>
      </c>
      <c r="G8" s="10" t="s">
        <v>28</v>
      </c>
      <c r="H8" s="10" t="s">
        <v>29</v>
      </c>
    </row>
    <row r="9" customFormat="false" ht="213.75" hidden="false" customHeight="true" outlineLevel="0" collapsed="false">
      <c r="A9" s="6" t="n">
        <v>8</v>
      </c>
      <c r="B9" s="7" t="n">
        <v>46272</v>
      </c>
      <c r="C9" s="8" t="s">
        <v>16</v>
      </c>
      <c r="D9" s="6"/>
      <c r="E9" s="6"/>
      <c r="F9" s="8" t="s">
        <v>30</v>
      </c>
      <c r="G9" s="10" t="s">
        <v>31</v>
      </c>
      <c r="H9" s="10" t="s">
        <v>32</v>
      </c>
    </row>
    <row r="10" customFormat="false" ht="354" hidden="false" customHeight="true" outlineLevel="0" collapsed="false">
      <c r="A10" s="6" t="n">
        <v>9</v>
      </c>
      <c r="B10" s="7" t="n">
        <v>46272</v>
      </c>
      <c r="C10" s="8" t="s">
        <v>16</v>
      </c>
      <c r="D10" s="6"/>
      <c r="E10" s="6"/>
      <c r="F10" s="8" t="s">
        <v>33</v>
      </c>
      <c r="G10" s="10" t="s">
        <v>34</v>
      </c>
      <c r="H10" s="10" t="s">
        <v>35</v>
      </c>
    </row>
    <row r="11" customFormat="false" ht="241.5" hidden="false" customHeight="true" outlineLevel="0" collapsed="false">
      <c r="A11" s="6" t="n">
        <v>10</v>
      </c>
      <c r="B11" s="7" t="n">
        <v>46272</v>
      </c>
      <c r="C11" s="8" t="s">
        <v>16</v>
      </c>
      <c r="D11" s="6"/>
      <c r="E11" s="6"/>
      <c r="F11" s="8" t="s">
        <v>36</v>
      </c>
      <c r="G11" s="10" t="s">
        <v>37</v>
      </c>
      <c r="H11" s="10" t="s">
        <v>38</v>
      </c>
    </row>
    <row r="12" customFormat="false" ht="171.75" hidden="false" customHeight="true" outlineLevel="0" collapsed="false">
      <c r="A12" s="6" t="n">
        <v>11</v>
      </c>
      <c r="B12" s="7" t="n">
        <v>46272</v>
      </c>
      <c r="C12" s="8" t="s">
        <v>16</v>
      </c>
      <c r="D12" s="6"/>
      <c r="E12" s="6"/>
      <c r="F12" s="8" t="s">
        <v>39</v>
      </c>
      <c r="G12" s="10" t="s">
        <v>40</v>
      </c>
      <c r="H12" s="10" t="s">
        <v>41</v>
      </c>
    </row>
    <row r="13" customFormat="false" ht="129.75" hidden="false" customHeight="true" outlineLevel="0" collapsed="false">
      <c r="A13" s="11" t="s">
        <v>42</v>
      </c>
      <c r="B13" s="11"/>
      <c r="C13" s="12" t="s">
        <v>43</v>
      </c>
      <c r="D13" s="11"/>
      <c r="E13" s="11"/>
      <c r="F13" s="12" t="s">
        <v>44</v>
      </c>
      <c r="G13" s="11" t="s">
        <v>45</v>
      </c>
      <c r="H13" s="11" t="s">
        <v>42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M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13" width="6"/>
    <col collapsed="false" customWidth="true" hidden="false" outlineLevel="0" max="2" min="2" style="13" width="8"/>
    <col collapsed="false" customWidth="true" hidden="false" outlineLevel="0" max="3" min="3" style="13" width="13"/>
    <col collapsed="false" customWidth="true" hidden="false" outlineLevel="0" max="4" min="4" style="13" width="26"/>
    <col collapsed="false" customWidth="true" hidden="false" outlineLevel="0" max="5" min="5" style="13" width="46"/>
    <col collapsed="false" customWidth="true" hidden="false" outlineLevel="0" max="6" min="6" style="13" width="40"/>
    <col collapsed="false" customWidth="true" hidden="false" outlineLevel="0" max="7" min="7" style="13" width="8"/>
    <col collapsed="false" customWidth="true" hidden="false" outlineLevel="0" max="8" min="8" style="13" width="7"/>
    <col collapsed="false" customWidth="true" hidden="false" outlineLevel="0" max="9" min="9" style="13" width="16"/>
    <col collapsed="false" customWidth="true" hidden="false" outlineLevel="0" max="10" min="10" style="13" width="42"/>
    <col collapsed="false" customWidth="true" hidden="false" outlineLevel="0" max="12" min="11" style="13" width="15"/>
    <col collapsed="false" customWidth="true" hidden="false" outlineLevel="0" max="13" min="13" style="13" width="30"/>
  </cols>
  <sheetData>
    <row r="1" customFormat="false" ht="21" hidden="false" customHeight="true" outlineLevel="0" collapsed="false">
      <c r="A1" s="14" t="s">
        <v>46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45.75" hidden="false" customHeight="true" outlineLevel="0" collapsed="false">
      <c r="A2" s="15" t="s">
        <v>47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customFormat="false" ht="39.75" hidden="false" customHeight="true" outlineLevel="0" collapsed="false">
      <c r="A4" s="16" t="s">
        <v>1</v>
      </c>
      <c r="B4" s="16" t="s">
        <v>48</v>
      </c>
      <c r="C4" s="16" t="s">
        <v>49</v>
      </c>
      <c r="D4" s="16" t="s">
        <v>50</v>
      </c>
      <c r="E4" s="16" t="s">
        <v>51</v>
      </c>
      <c r="F4" s="16" t="s">
        <v>52</v>
      </c>
      <c r="G4" s="16" t="s">
        <v>53</v>
      </c>
      <c r="H4" s="16" t="s">
        <v>54</v>
      </c>
      <c r="I4" s="16" t="s">
        <v>55</v>
      </c>
      <c r="J4" s="16" t="s">
        <v>56</v>
      </c>
      <c r="K4" s="16" t="s">
        <v>57</v>
      </c>
      <c r="L4" s="16" t="s">
        <v>58</v>
      </c>
      <c r="M4" s="16" t="s">
        <v>59</v>
      </c>
    </row>
    <row r="5" customFormat="false" ht="19.5" hidden="false" customHeight="true" outlineLevel="0" collapsed="false">
      <c r="A5" s="17" t="s">
        <v>60</v>
      </c>
      <c r="B5" s="18" t="s">
        <v>61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customFormat="false" ht="33.75" hidden="false" customHeight="true" outlineLevel="0" collapsed="false">
      <c r="A6" s="19" t="n">
        <v>1</v>
      </c>
      <c r="B6" s="20"/>
      <c r="C6" s="20" t="s">
        <v>62</v>
      </c>
      <c r="D6" s="21" t="s">
        <v>63</v>
      </c>
      <c r="E6" s="20" t="s">
        <v>64</v>
      </c>
      <c r="F6" s="21" t="s">
        <v>65</v>
      </c>
      <c r="G6" s="19" t="n">
        <v>13.2</v>
      </c>
      <c r="H6" s="19" t="s">
        <v>66</v>
      </c>
      <c r="I6" s="20" t="s">
        <v>67</v>
      </c>
      <c r="J6" s="22"/>
      <c r="K6" s="23"/>
      <c r="L6" s="23" t="str">
        <f aca="false">IF(K6="","",G6*K6)</f>
        <v/>
      </c>
      <c r="M6" s="20"/>
    </row>
    <row r="7" customFormat="false" ht="33.75" hidden="false" customHeight="true" outlineLevel="0" collapsed="false">
      <c r="A7" s="19" t="n">
        <v>2</v>
      </c>
      <c r="B7" s="20"/>
      <c r="C7" s="20" t="s">
        <v>68</v>
      </c>
      <c r="D7" s="21" t="s">
        <v>69</v>
      </c>
      <c r="E7" s="20" t="s">
        <v>70</v>
      </c>
      <c r="F7" s="21" t="s">
        <v>65</v>
      </c>
      <c r="G7" s="19" t="n">
        <v>13.5</v>
      </c>
      <c r="H7" s="19" t="s">
        <v>66</v>
      </c>
      <c r="I7" s="20" t="s">
        <v>67</v>
      </c>
      <c r="J7" s="22"/>
      <c r="K7" s="23"/>
      <c r="L7" s="23" t="str">
        <f aca="false">IF(K7="","",G7*K7)</f>
        <v/>
      </c>
      <c r="M7" s="20"/>
    </row>
    <row r="8" customFormat="false" ht="33.75" hidden="false" customHeight="true" outlineLevel="0" collapsed="false">
      <c r="A8" s="19" t="n">
        <v>3</v>
      </c>
      <c r="B8" s="20"/>
      <c r="C8" s="20" t="s">
        <v>71</v>
      </c>
      <c r="D8" s="21" t="s">
        <v>72</v>
      </c>
      <c r="E8" s="21" t="s">
        <v>73</v>
      </c>
      <c r="F8" s="21" t="s">
        <v>65</v>
      </c>
      <c r="G8" s="19" t="n">
        <v>1</v>
      </c>
      <c r="H8" s="24" t="s">
        <v>74</v>
      </c>
      <c r="I8" s="20" t="s">
        <v>75</v>
      </c>
      <c r="J8" s="22"/>
      <c r="K8" s="23"/>
      <c r="L8" s="23" t="str">
        <f aca="false">IF(K8="","",G8*K8)</f>
        <v/>
      </c>
      <c r="M8" s="20"/>
    </row>
    <row r="9" customFormat="false" ht="33.75" hidden="false" customHeight="true" outlineLevel="0" collapsed="false">
      <c r="A9" s="19" t="n">
        <v>4</v>
      </c>
      <c r="B9" s="20"/>
      <c r="C9" s="20" t="s">
        <v>76</v>
      </c>
      <c r="D9" s="21" t="s">
        <v>77</v>
      </c>
      <c r="E9" s="21" t="s">
        <v>78</v>
      </c>
      <c r="F9" s="20" t="s">
        <v>79</v>
      </c>
      <c r="G9" s="19" t="n">
        <v>4</v>
      </c>
      <c r="H9" s="24" t="s">
        <v>80</v>
      </c>
      <c r="I9" s="20" t="s">
        <v>81</v>
      </c>
      <c r="J9" s="22"/>
      <c r="K9" s="23"/>
      <c r="L9" s="23" t="str">
        <f aca="false">IF(K9="","",G9*K9)</f>
        <v/>
      </c>
      <c r="M9" s="20" t="s">
        <v>82</v>
      </c>
    </row>
    <row r="10" customFormat="false" ht="33.75" hidden="false" customHeight="true" outlineLevel="0" collapsed="false">
      <c r="A10" s="19" t="n">
        <v>5</v>
      </c>
      <c r="B10" s="20"/>
      <c r="C10" s="20" t="s">
        <v>83</v>
      </c>
      <c r="D10" s="21" t="s">
        <v>84</v>
      </c>
      <c r="E10" s="21" t="s">
        <v>85</v>
      </c>
      <c r="F10" s="20" t="s">
        <v>79</v>
      </c>
      <c r="G10" s="19" t="n">
        <v>2</v>
      </c>
      <c r="H10" s="24" t="s">
        <v>74</v>
      </c>
      <c r="I10" s="20" t="s">
        <v>75</v>
      </c>
      <c r="J10" s="22"/>
      <c r="K10" s="23"/>
      <c r="L10" s="23" t="str">
        <f aca="false">IF(K10="","",G10*K10)</f>
        <v/>
      </c>
      <c r="M10" s="20"/>
    </row>
    <row r="11" customFormat="false" ht="33.75" hidden="false" customHeight="true" outlineLevel="0" collapsed="false">
      <c r="A11" s="19" t="n">
        <v>6</v>
      </c>
      <c r="B11" s="20"/>
      <c r="C11" s="20" t="s">
        <v>86</v>
      </c>
      <c r="D11" s="21" t="s">
        <v>87</v>
      </c>
      <c r="E11" s="20" t="s">
        <v>88</v>
      </c>
      <c r="F11" s="20" t="s">
        <v>79</v>
      </c>
      <c r="G11" s="19" t="n">
        <v>2</v>
      </c>
      <c r="H11" s="24" t="s">
        <v>80</v>
      </c>
      <c r="I11" s="20" t="s">
        <v>75</v>
      </c>
      <c r="J11" s="22"/>
      <c r="K11" s="23"/>
      <c r="L11" s="23" t="str">
        <f aca="false">IF(K11="","",G11*K11)</f>
        <v/>
      </c>
      <c r="M11" s="20"/>
    </row>
    <row r="12" customFormat="false" ht="33.75" hidden="false" customHeight="true" outlineLevel="0" collapsed="false">
      <c r="A12" s="19" t="n">
        <v>7</v>
      </c>
      <c r="B12" s="20"/>
      <c r="C12" s="20" t="s">
        <v>89</v>
      </c>
      <c r="D12" s="21" t="s">
        <v>90</v>
      </c>
      <c r="E12" s="20" t="s">
        <v>91</v>
      </c>
      <c r="F12" s="20" t="s">
        <v>79</v>
      </c>
      <c r="G12" s="19" t="n">
        <v>2</v>
      </c>
      <c r="H12" s="24" t="s">
        <v>92</v>
      </c>
      <c r="I12" s="20" t="s">
        <v>75</v>
      </c>
      <c r="J12" s="22"/>
      <c r="K12" s="23"/>
      <c r="L12" s="23" t="str">
        <f aca="false">IF(K12="","",G12*K12)</f>
        <v/>
      </c>
      <c r="M12" s="20"/>
    </row>
    <row r="13" customFormat="false" ht="19.5" hidden="false" customHeight="true" outlineLevel="0" collapsed="false">
      <c r="A13" s="17" t="s">
        <v>93</v>
      </c>
      <c r="B13" s="18" t="s">
        <v>94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customFormat="false" ht="33.75" hidden="false" customHeight="true" outlineLevel="0" collapsed="false">
      <c r="A14" s="19" t="n">
        <v>8</v>
      </c>
      <c r="B14" s="20"/>
      <c r="C14" s="20" t="s">
        <v>95</v>
      </c>
      <c r="D14" s="21" t="s">
        <v>96</v>
      </c>
      <c r="E14" s="20" t="s">
        <v>97</v>
      </c>
      <c r="F14" s="20" t="s">
        <v>79</v>
      </c>
      <c r="G14" s="19" t="n">
        <v>1</v>
      </c>
      <c r="H14" s="24" t="s">
        <v>98</v>
      </c>
      <c r="I14" s="20" t="s">
        <v>99</v>
      </c>
      <c r="J14" s="22"/>
      <c r="K14" s="23"/>
      <c r="L14" s="23" t="str">
        <f aca="false">IF(K14="","",G14*K14)</f>
        <v/>
      </c>
      <c r="M14" s="21" t="s">
        <v>100</v>
      </c>
    </row>
    <row r="15" customFormat="false" ht="33.75" hidden="false" customHeight="true" outlineLevel="0" collapsed="false">
      <c r="A15" s="19" t="n">
        <v>9</v>
      </c>
      <c r="B15" s="20"/>
      <c r="C15" s="20" t="s">
        <v>101</v>
      </c>
      <c r="D15" s="21" t="s">
        <v>102</v>
      </c>
      <c r="E15" s="20" t="s">
        <v>103</v>
      </c>
      <c r="F15" s="20" t="s">
        <v>79</v>
      </c>
      <c r="G15" s="19" t="n">
        <v>1</v>
      </c>
      <c r="H15" s="24" t="s">
        <v>98</v>
      </c>
      <c r="I15" s="20" t="s">
        <v>99</v>
      </c>
      <c r="J15" s="22"/>
      <c r="K15" s="23"/>
      <c r="L15" s="23" t="str">
        <f aca="false">IF(K15="","",G15*K15)</f>
        <v/>
      </c>
      <c r="M15" s="21" t="s">
        <v>104</v>
      </c>
    </row>
    <row r="16" customFormat="false" ht="33.75" hidden="false" customHeight="true" outlineLevel="0" collapsed="false">
      <c r="A16" s="19" t="n">
        <v>10</v>
      </c>
      <c r="B16" s="20"/>
      <c r="C16" s="20" t="s">
        <v>105</v>
      </c>
      <c r="D16" s="20" t="s">
        <v>106</v>
      </c>
      <c r="E16" s="21" t="s">
        <v>107</v>
      </c>
      <c r="F16" s="20" t="s">
        <v>79</v>
      </c>
      <c r="G16" s="19" t="n">
        <v>1</v>
      </c>
      <c r="H16" s="24" t="s">
        <v>74</v>
      </c>
      <c r="I16" s="20" t="s">
        <v>108</v>
      </c>
      <c r="J16" s="22"/>
      <c r="K16" s="23"/>
      <c r="L16" s="23" t="str">
        <f aca="false">IF(K16="","",G16*K16)</f>
        <v/>
      </c>
      <c r="M16" s="20"/>
    </row>
    <row r="17" customFormat="false" ht="19.5" hidden="false" customHeight="true" outlineLevel="0" collapsed="false">
      <c r="A17" s="17" t="s">
        <v>109</v>
      </c>
      <c r="B17" s="18" t="s">
        <v>110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customFormat="false" ht="33.75" hidden="false" customHeight="true" outlineLevel="0" collapsed="false">
      <c r="A18" s="19" t="n">
        <v>11</v>
      </c>
      <c r="B18" s="20"/>
      <c r="C18" s="20" t="s">
        <v>111</v>
      </c>
      <c r="D18" s="21" t="s">
        <v>112</v>
      </c>
      <c r="E18" s="20" t="s">
        <v>113</v>
      </c>
      <c r="F18" s="20" t="s">
        <v>79</v>
      </c>
      <c r="G18" s="19" t="n">
        <v>13.1</v>
      </c>
      <c r="H18" s="19" t="s">
        <v>66</v>
      </c>
      <c r="I18" s="20" t="s">
        <v>75</v>
      </c>
      <c r="J18" s="22"/>
      <c r="K18" s="23"/>
      <c r="L18" s="23" t="str">
        <f aca="false">IF(K18="","",G18*K18)</f>
        <v/>
      </c>
      <c r="M18" s="20"/>
    </row>
    <row r="19" customFormat="false" ht="33.75" hidden="false" customHeight="true" outlineLevel="0" collapsed="false">
      <c r="A19" s="19" t="n">
        <v>12</v>
      </c>
      <c r="B19" s="20"/>
      <c r="C19" s="20" t="s">
        <v>114</v>
      </c>
      <c r="D19" s="21" t="s">
        <v>115</v>
      </c>
      <c r="E19" s="20" t="s">
        <v>116</v>
      </c>
      <c r="F19" s="20" t="s">
        <v>79</v>
      </c>
      <c r="G19" s="19" t="n">
        <v>13.1</v>
      </c>
      <c r="H19" s="19" t="s">
        <v>66</v>
      </c>
      <c r="I19" s="20" t="s">
        <v>75</v>
      </c>
      <c r="J19" s="22"/>
      <c r="K19" s="23"/>
      <c r="L19" s="23" t="str">
        <f aca="false">IF(K19="","",G19*K19)</f>
        <v/>
      </c>
      <c r="M19" s="20"/>
    </row>
    <row r="20" customFormat="false" ht="33.75" hidden="false" customHeight="true" outlineLevel="0" collapsed="false">
      <c r="A20" s="19" t="n">
        <v>13</v>
      </c>
      <c r="B20" s="20"/>
      <c r="C20" s="20" t="s">
        <v>117</v>
      </c>
      <c r="D20" s="20" t="s">
        <v>118</v>
      </c>
      <c r="E20" s="21" t="s">
        <v>119</v>
      </c>
      <c r="F20" s="20" t="s">
        <v>79</v>
      </c>
      <c r="G20" s="19" t="n">
        <v>4</v>
      </c>
      <c r="H20" s="24" t="s">
        <v>80</v>
      </c>
      <c r="I20" s="20" t="s">
        <v>81</v>
      </c>
      <c r="J20" s="22"/>
      <c r="K20" s="23"/>
      <c r="L20" s="23" t="str">
        <f aca="false">IF(K20="","",G20*K20)</f>
        <v/>
      </c>
      <c r="M20" s="20" t="s">
        <v>82</v>
      </c>
    </row>
    <row r="21" customFormat="false" ht="33.75" hidden="false" customHeight="true" outlineLevel="0" collapsed="false">
      <c r="A21" s="19" t="n">
        <v>14</v>
      </c>
      <c r="B21" s="20"/>
      <c r="C21" s="20" t="s">
        <v>120</v>
      </c>
      <c r="D21" s="20" t="s">
        <v>121</v>
      </c>
      <c r="E21" s="20" t="s">
        <v>122</v>
      </c>
      <c r="F21" s="20" t="s">
        <v>79</v>
      </c>
      <c r="G21" s="19" t="n">
        <v>1</v>
      </c>
      <c r="H21" s="24" t="s">
        <v>74</v>
      </c>
      <c r="I21" s="20" t="s">
        <v>123</v>
      </c>
      <c r="J21" s="22"/>
      <c r="K21" s="23"/>
      <c r="L21" s="23" t="str">
        <f aca="false">IF(K21="","",G21*K21)</f>
        <v/>
      </c>
      <c r="M21" s="20"/>
    </row>
    <row r="22" customFormat="false" ht="33.75" hidden="false" customHeight="true" outlineLevel="0" collapsed="false">
      <c r="A22" s="19" t="n">
        <v>15</v>
      </c>
      <c r="B22" s="20"/>
      <c r="C22" s="20" t="s">
        <v>124</v>
      </c>
      <c r="D22" s="20" t="s">
        <v>125</v>
      </c>
      <c r="E22" s="21" t="s">
        <v>126</v>
      </c>
      <c r="F22" s="20" t="s">
        <v>79</v>
      </c>
      <c r="G22" s="19" t="n">
        <v>1</v>
      </c>
      <c r="H22" s="24" t="s">
        <v>74</v>
      </c>
      <c r="I22" s="20" t="s">
        <v>75</v>
      </c>
      <c r="J22" s="22"/>
      <c r="K22" s="23"/>
      <c r="L22" s="23" t="str">
        <f aca="false">IF(K22="","",G22*K22)</f>
        <v/>
      </c>
      <c r="M22" s="20"/>
    </row>
    <row r="23" customFormat="false" ht="19.5" hidden="false" customHeight="true" outlineLevel="0" collapsed="false">
      <c r="A23" s="17" t="s">
        <v>127</v>
      </c>
      <c r="B23" s="18" t="s">
        <v>128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customFormat="false" ht="33.75" hidden="false" customHeight="true" outlineLevel="0" collapsed="false">
      <c r="A24" s="19" t="n">
        <v>16</v>
      </c>
      <c r="B24" s="20"/>
      <c r="C24" s="20" t="s">
        <v>129</v>
      </c>
      <c r="D24" s="20" t="s">
        <v>130</v>
      </c>
      <c r="E24" s="20" t="s">
        <v>131</v>
      </c>
      <c r="F24" s="20" t="s">
        <v>79</v>
      </c>
      <c r="G24" s="19" t="n">
        <v>16</v>
      </c>
      <c r="H24" s="24" t="s">
        <v>92</v>
      </c>
      <c r="I24" s="20" t="s">
        <v>132</v>
      </c>
      <c r="J24" s="22"/>
      <c r="K24" s="23"/>
      <c r="L24" s="23" t="str">
        <f aca="false">IF(K24="","",G24*K24)</f>
        <v/>
      </c>
      <c r="M24" s="20" t="s">
        <v>133</v>
      </c>
    </row>
    <row r="25" customFormat="false" ht="33.75" hidden="false" customHeight="true" outlineLevel="0" collapsed="false">
      <c r="A25" s="19" t="n">
        <v>17</v>
      </c>
      <c r="B25" s="20"/>
      <c r="C25" s="20" t="s">
        <v>134</v>
      </c>
      <c r="D25" s="21" t="s">
        <v>135</v>
      </c>
      <c r="E25" s="20" t="s">
        <v>136</v>
      </c>
      <c r="F25" s="20" t="s">
        <v>79</v>
      </c>
      <c r="G25" s="19" t="n">
        <v>16</v>
      </c>
      <c r="H25" s="24" t="s">
        <v>92</v>
      </c>
      <c r="I25" s="20" t="s">
        <v>137</v>
      </c>
      <c r="J25" s="22"/>
      <c r="K25" s="23"/>
      <c r="L25" s="23" t="str">
        <f aca="false">IF(K25="","",G25*K25)</f>
        <v/>
      </c>
      <c r="M25" s="20" t="s">
        <v>138</v>
      </c>
    </row>
    <row r="26" customFormat="false" ht="33.75" hidden="false" customHeight="true" outlineLevel="0" collapsed="false">
      <c r="A26" s="19" t="n">
        <v>18</v>
      </c>
      <c r="B26" s="20"/>
      <c r="C26" s="20" t="s">
        <v>139</v>
      </c>
      <c r="D26" s="20" t="s">
        <v>140</v>
      </c>
      <c r="E26" s="20" t="s">
        <v>141</v>
      </c>
      <c r="F26" s="20" t="s">
        <v>79</v>
      </c>
      <c r="G26" s="19" t="n">
        <v>8</v>
      </c>
      <c r="H26" s="24" t="s">
        <v>92</v>
      </c>
      <c r="I26" s="20" t="s">
        <v>142</v>
      </c>
      <c r="J26" s="22"/>
      <c r="K26" s="23"/>
      <c r="L26" s="23" t="str">
        <f aca="false">IF(K26="","",G26*K26)</f>
        <v/>
      </c>
      <c r="M26" s="21" t="s">
        <v>143</v>
      </c>
    </row>
    <row r="27" customFormat="false" ht="33.75" hidden="false" customHeight="true" outlineLevel="0" collapsed="false">
      <c r="A27" s="19" t="n">
        <v>19</v>
      </c>
      <c r="B27" s="20"/>
      <c r="C27" s="20" t="s">
        <v>144</v>
      </c>
      <c r="D27" s="20" t="s">
        <v>145</v>
      </c>
      <c r="E27" s="20" t="s">
        <v>146</v>
      </c>
      <c r="F27" s="20" t="s">
        <v>79</v>
      </c>
      <c r="G27" s="19" t="n">
        <v>4</v>
      </c>
      <c r="H27" s="24" t="s">
        <v>80</v>
      </c>
      <c r="I27" s="20" t="s">
        <v>142</v>
      </c>
      <c r="J27" s="22"/>
      <c r="K27" s="23"/>
      <c r="L27" s="23" t="str">
        <f aca="false">IF(K27="","",G27*K27)</f>
        <v/>
      </c>
      <c r="M27" s="20"/>
    </row>
    <row r="28" customFormat="false" ht="19.5" hidden="false" customHeight="true" outlineLevel="0" collapsed="false">
      <c r="A28" s="17" t="s">
        <v>147</v>
      </c>
      <c r="B28" s="18" t="s">
        <v>148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customFormat="false" ht="33.75" hidden="false" customHeight="true" outlineLevel="0" collapsed="false">
      <c r="A29" s="19" t="n">
        <v>20</v>
      </c>
      <c r="B29" s="20"/>
      <c r="C29" s="20" t="s">
        <v>149</v>
      </c>
      <c r="D29" s="21" t="s">
        <v>150</v>
      </c>
      <c r="E29" s="21" t="s">
        <v>151</v>
      </c>
      <c r="F29" s="21" t="s">
        <v>152</v>
      </c>
      <c r="G29" s="19" t="n">
        <v>16</v>
      </c>
      <c r="H29" s="24" t="s">
        <v>80</v>
      </c>
      <c r="I29" s="20" t="s">
        <v>132</v>
      </c>
      <c r="J29" s="22"/>
      <c r="K29" s="23"/>
      <c r="L29" s="23" t="str">
        <f aca="false">IF(K29="","",G29*K29)</f>
        <v/>
      </c>
      <c r="M29" s="21" t="s">
        <v>153</v>
      </c>
    </row>
    <row r="30" customFormat="false" ht="33.75" hidden="false" customHeight="true" outlineLevel="0" collapsed="false">
      <c r="A30" s="19" t="n">
        <v>21</v>
      </c>
      <c r="B30" s="20"/>
      <c r="C30" s="20" t="s">
        <v>154</v>
      </c>
      <c r="D30" s="21" t="s">
        <v>155</v>
      </c>
      <c r="E30" s="21" t="s">
        <v>156</v>
      </c>
      <c r="F30" s="21" t="s">
        <v>15</v>
      </c>
      <c r="G30" s="19" t="n">
        <v>16</v>
      </c>
      <c r="H30" s="24" t="s">
        <v>80</v>
      </c>
      <c r="I30" s="20" t="s">
        <v>137</v>
      </c>
      <c r="J30" s="22"/>
      <c r="K30" s="23"/>
      <c r="L30" s="23" t="str">
        <f aca="false">IF(K30="","",G30*K30)</f>
        <v/>
      </c>
      <c r="M30" s="20"/>
    </row>
    <row r="31" customFormat="false" ht="33.75" hidden="false" customHeight="true" outlineLevel="0" collapsed="false">
      <c r="A31" s="19" t="n">
        <v>22</v>
      </c>
      <c r="B31" s="20"/>
      <c r="C31" s="20" t="s">
        <v>157</v>
      </c>
      <c r="D31" s="20" t="s">
        <v>158</v>
      </c>
      <c r="E31" s="21" t="s">
        <v>159</v>
      </c>
      <c r="F31" s="21" t="s">
        <v>15</v>
      </c>
      <c r="G31" s="19" t="n">
        <v>4</v>
      </c>
      <c r="H31" s="24" t="s">
        <v>80</v>
      </c>
      <c r="I31" s="20" t="s">
        <v>142</v>
      </c>
      <c r="J31" s="22"/>
      <c r="K31" s="23"/>
      <c r="L31" s="23" t="str">
        <f aca="false">IF(K31="","",G31*K31)</f>
        <v/>
      </c>
      <c r="M31" s="21" t="s">
        <v>160</v>
      </c>
    </row>
    <row r="32" customFormat="false" ht="33.75" hidden="false" customHeight="true" outlineLevel="0" collapsed="false">
      <c r="A32" s="19" t="n">
        <v>23</v>
      </c>
      <c r="B32" s="20"/>
      <c r="C32" s="20" t="s">
        <v>161</v>
      </c>
      <c r="D32" s="20" t="s">
        <v>162</v>
      </c>
      <c r="E32" s="21" t="s">
        <v>163</v>
      </c>
      <c r="F32" s="21" t="s">
        <v>15</v>
      </c>
      <c r="G32" s="19" t="n">
        <v>4</v>
      </c>
      <c r="H32" s="24" t="s">
        <v>80</v>
      </c>
      <c r="I32" s="20" t="s">
        <v>164</v>
      </c>
      <c r="J32" s="22"/>
      <c r="K32" s="23"/>
      <c r="L32" s="23" t="str">
        <f aca="false">IF(K32="","",G32*K32)</f>
        <v/>
      </c>
      <c r="M32" s="20" t="s">
        <v>165</v>
      </c>
    </row>
    <row r="33" customFormat="false" ht="33.75" hidden="false" customHeight="true" outlineLevel="0" collapsed="false">
      <c r="A33" s="19" t="n">
        <v>24</v>
      </c>
      <c r="B33" s="20"/>
      <c r="C33" s="20" t="s">
        <v>166</v>
      </c>
      <c r="D33" s="20" t="s">
        <v>167</v>
      </c>
      <c r="E33" s="21" t="s">
        <v>168</v>
      </c>
      <c r="F33" s="21" t="s">
        <v>15</v>
      </c>
      <c r="G33" s="19" t="n">
        <v>1</v>
      </c>
      <c r="H33" s="24" t="s">
        <v>80</v>
      </c>
      <c r="I33" s="20" t="s">
        <v>123</v>
      </c>
      <c r="J33" s="22"/>
      <c r="K33" s="23"/>
      <c r="L33" s="23" t="str">
        <f aca="false">IF(K33="","",G33*K33)</f>
        <v/>
      </c>
      <c r="M33" s="20"/>
    </row>
    <row r="34" customFormat="false" ht="33.75" hidden="false" customHeight="true" outlineLevel="0" collapsed="false">
      <c r="A34" s="19" t="n">
        <v>25</v>
      </c>
      <c r="B34" s="20"/>
      <c r="C34" s="20" t="s">
        <v>169</v>
      </c>
      <c r="D34" s="20" t="s">
        <v>170</v>
      </c>
      <c r="E34" s="21" t="s">
        <v>171</v>
      </c>
      <c r="F34" s="21" t="s">
        <v>172</v>
      </c>
      <c r="G34" s="19" t="n">
        <v>4</v>
      </c>
      <c r="H34" s="24" t="s">
        <v>173</v>
      </c>
      <c r="I34" s="20" t="s">
        <v>142</v>
      </c>
      <c r="J34" s="22"/>
      <c r="K34" s="23"/>
      <c r="L34" s="23" t="str">
        <f aca="false">IF(K34="","",G34*K34)</f>
        <v/>
      </c>
      <c r="M34" s="21" t="s">
        <v>174</v>
      </c>
    </row>
    <row r="35" customFormat="false" ht="33.75" hidden="false" customHeight="true" outlineLevel="0" collapsed="false">
      <c r="A35" s="19" t="n">
        <v>26</v>
      </c>
      <c r="B35" s="20"/>
      <c r="C35" s="20" t="s">
        <v>42</v>
      </c>
      <c r="D35" s="21" t="s">
        <v>175</v>
      </c>
      <c r="E35" s="20" t="s">
        <v>42</v>
      </c>
      <c r="F35" s="20" t="s">
        <v>42</v>
      </c>
      <c r="G35" s="19" t="n">
        <v>0</v>
      </c>
      <c r="H35" s="19" t="s">
        <v>42</v>
      </c>
      <c r="I35" s="20" t="s">
        <v>81</v>
      </c>
      <c r="J35" s="22"/>
      <c r="K35" s="23"/>
      <c r="L35" s="23" t="str">
        <f aca="false">IF(K35="","",G35*K35)</f>
        <v/>
      </c>
      <c r="M35" s="21" t="s">
        <v>176</v>
      </c>
    </row>
    <row r="36" customFormat="false" ht="19.5" hidden="false" customHeight="true" outlineLevel="0" collapsed="false">
      <c r="A36" s="17" t="s">
        <v>177</v>
      </c>
      <c r="B36" s="18" t="s">
        <v>178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customFormat="false" ht="33.75" hidden="false" customHeight="true" outlineLevel="0" collapsed="false">
      <c r="A37" s="19" t="n">
        <v>27</v>
      </c>
      <c r="B37" s="20"/>
      <c r="C37" s="20" t="s">
        <v>179</v>
      </c>
      <c r="D37" s="21" t="s">
        <v>180</v>
      </c>
      <c r="E37" s="21" t="s">
        <v>181</v>
      </c>
      <c r="F37" s="20" t="s">
        <v>182</v>
      </c>
      <c r="G37" s="19" t="n">
        <v>36</v>
      </c>
      <c r="H37" s="24" t="s">
        <v>74</v>
      </c>
      <c r="I37" s="20" t="s">
        <v>183</v>
      </c>
      <c r="J37" s="22"/>
      <c r="K37" s="23"/>
      <c r="L37" s="23" t="str">
        <f aca="false">IF(K37="","",G37*K37)</f>
        <v/>
      </c>
      <c r="M37" s="21" t="s">
        <v>184</v>
      </c>
    </row>
    <row r="38" customFormat="false" ht="33.75" hidden="false" customHeight="true" outlineLevel="0" collapsed="false">
      <c r="A38" s="19" t="n">
        <v>28</v>
      </c>
      <c r="B38" s="20"/>
      <c r="C38" s="20" t="s">
        <v>185</v>
      </c>
      <c r="D38" s="21" t="s">
        <v>186</v>
      </c>
      <c r="E38" s="20" t="s">
        <v>187</v>
      </c>
      <c r="F38" s="21" t="s">
        <v>188</v>
      </c>
      <c r="G38" s="19" t="n">
        <v>4</v>
      </c>
      <c r="H38" s="24" t="s">
        <v>74</v>
      </c>
      <c r="I38" s="20" t="s">
        <v>164</v>
      </c>
      <c r="J38" s="22"/>
      <c r="K38" s="23"/>
      <c r="L38" s="23" t="str">
        <f aca="false">IF(K38="","",G38*K38)</f>
        <v/>
      </c>
      <c r="M38" s="20" t="s">
        <v>189</v>
      </c>
    </row>
    <row r="39" customFormat="false" ht="33.75" hidden="false" customHeight="true" outlineLevel="0" collapsed="false">
      <c r="A39" s="19" t="n">
        <v>29</v>
      </c>
      <c r="B39" s="20"/>
      <c r="C39" s="20" t="s">
        <v>190</v>
      </c>
      <c r="D39" s="21" t="s">
        <v>191</v>
      </c>
      <c r="E39" s="20" t="s">
        <v>192</v>
      </c>
      <c r="F39" s="21" t="s">
        <v>188</v>
      </c>
      <c r="G39" s="19" t="n">
        <v>40</v>
      </c>
      <c r="H39" s="24" t="s">
        <v>80</v>
      </c>
      <c r="I39" s="20" t="s">
        <v>193</v>
      </c>
      <c r="J39" s="22"/>
      <c r="K39" s="23"/>
      <c r="L39" s="23" t="str">
        <f aca="false">IF(K39="","",G39*K39)</f>
        <v/>
      </c>
      <c r="M39" s="21" t="s">
        <v>194</v>
      </c>
    </row>
    <row r="40" customFormat="false" ht="19.5" hidden="false" customHeight="true" outlineLevel="0" collapsed="false">
      <c r="A40" s="17" t="s">
        <v>195</v>
      </c>
      <c r="B40" s="18" t="s">
        <v>196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customFormat="false" ht="33.75" hidden="false" customHeight="true" outlineLevel="0" collapsed="false">
      <c r="A41" s="19" t="n">
        <v>30</v>
      </c>
      <c r="B41" s="20"/>
      <c r="C41" s="20" t="s">
        <v>197</v>
      </c>
      <c r="D41" s="21" t="s">
        <v>198</v>
      </c>
      <c r="E41" s="20" t="s">
        <v>199</v>
      </c>
      <c r="F41" s="20" t="s">
        <v>79</v>
      </c>
      <c r="G41" s="19" t="n">
        <v>16</v>
      </c>
      <c r="H41" s="24" t="s">
        <v>80</v>
      </c>
      <c r="I41" s="20" t="s">
        <v>200</v>
      </c>
      <c r="J41" s="22"/>
      <c r="K41" s="23"/>
      <c r="L41" s="23" t="str">
        <f aca="false">IF(K41="","",G41*K41)</f>
        <v/>
      </c>
      <c r="M41" s="21" t="s">
        <v>201</v>
      </c>
    </row>
    <row r="42" customFormat="false" ht="33.75" hidden="false" customHeight="true" outlineLevel="0" collapsed="false">
      <c r="A42" s="19" t="n">
        <v>31</v>
      </c>
      <c r="B42" s="20"/>
      <c r="C42" s="20" t="s">
        <v>202</v>
      </c>
      <c r="D42" s="21" t="s">
        <v>203</v>
      </c>
      <c r="E42" s="20" t="s">
        <v>204</v>
      </c>
      <c r="F42" s="20" t="s">
        <v>79</v>
      </c>
      <c r="G42" s="19" t="n">
        <v>16</v>
      </c>
      <c r="H42" s="24" t="s">
        <v>80</v>
      </c>
      <c r="I42" s="20" t="s">
        <v>200</v>
      </c>
      <c r="J42" s="22"/>
      <c r="K42" s="23"/>
      <c r="L42" s="23" t="str">
        <f aca="false">IF(K42="","",G42*K42)</f>
        <v/>
      </c>
      <c r="M42" s="21" t="s">
        <v>15</v>
      </c>
    </row>
    <row r="43" customFormat="false" ht="33.75" hidden="false" customHeight="true" outlineLevel="0" collapsed="false">
      <c r="A43" s="19" t="n">
        <v>32</v>
      </c>
      <c r="B43" s="20"/>
      <c r="C43" s="20" t="s">
        <v>205</v>
      </c>
      <c r="D43" s="21" t="s">
        <v>206</v>
      </c>
      <c r="E43" s="20" t="s">
        <v>207</v>
      </c>
      <c r="F43" s="20" t="s">
        <v>79</v>
      </c>
      <c r="G43" s="19" t="n">
        <v>4</v>
      </c>
      <c r="H43" s="24" t="s">
        <v>80</v>
      </c>
      <c r="I43" s="20" t="s">
        <v>200</v>
      </c>
      <c r="J43" s="22"/>
      <c r="K43" s="23"/>
      <c r="L43" s="23" t="str">
        <f aca="false">IF(K43="","",G43*K43)</f>
        <v/>
      </c>
      <c r="M43" s="21" t="s">
        <v>15</v>
      </c>
    </row>
    <row r="44" customFormat="false" ht="33.75" hidden="false" customHeight="true" outlineLevel="0" collapsed="false">
      <c r="A44" s="19" t="n">
        <v>33</v>
      </c>
      <c r="B44" s="20"/>
      <c r="C44" s="20" t="s">
        <v>208</v>
      </c>
      <c r="D44" s="21" t="s">
        <v>209</v>
      </c>
      <c r="E44" s="20" t="s">
        <v>210</v>
      </c>
      <c r="F44" s="20" t="s">
        <v>79</v>
      </c>
      <c r="G44" s="19" t="n">
        <v>4</v>
      </c>
      <c r="H44" s="24" t="s">
        <v>80</v>
      </c>
      <c r="I44" s="20" t="s">
        <v>200</v>
      </c>
      <c r="J44" s="22"/>
      <c r="K44" s="23"/>
      <c r="L44" s="23" t="str">
        <f aca="false">IF(K44="","",G44*K44)</f>
        <v/>
      </c>
      <c r="M44" s="21" t="s">
        <v>15</v>
      </c>
    </row>
    <row r="45" customFormat="false" ht="33.75" hidden="false" customHeight="true" outlineLevel="0" collapsed="false">
      <c r="A45" s="19" t="n">
        <v>34</v>
      </c>
      <c r="B45" s="20"/>
      <c r="C45" s="20" t="s">
        <v>211</v>
      </c>
      <c r="D45" s="21" t="s">
        <v>212</v>
      </c>
      <c r="E45" s="20" t="s">
        <v>213</v>
      </c>
      <c r="F45" s="20" t="s">
        <v>42</v>
      </c>
      <c r="G45" s="19" t="n">
        <v>0</v>
      </c>
      <c r="H45" s="24" t="s">
        <v>80</v>
      </c>
      <c r="I45" s="20" t="s">
        <v>200</v>
      </c>
      <c r="J45" s="22"/>
      <c r="K45" s="23"/>
      <c r="L45" s="23" t="str">
        <f aca="false">IF(K45="","",G45*K45)</f>
        <v/>
      </c>
      <c r="M45" s="20" t="s">
        <v>214</v>
      </c>
    </row>
    <row r="46" customFormat="false" ht="19.5" hidden="false" customHeight="true" outlineLevel="0" collapsed="false">
      <c r="A46" s="17" t="s">
        <v>215</v>
      </c>
      <c r="B46" s="18" t="s">
        <v>216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customFormat="false" ht="33.75" hidden="false" customHeight="true" outlineLevel="0" collapsed="false">
      <c r="A47" s="19" t="n">
        <v>35</v>
      </c>
      <c r="B47" s="20"/>
      <c r="C47" s="20" t="s">
        <v>217</v>
      </c>
      <c r="D47" s="21" t="s">
        <v>218</v>
      </c>
      <c r="E47" s="20" t="s">
        <v>219</v>
      </c>
      <c r="F47" s="20" t="s">
        <v>220</v>
      </c>
      <c r="G47" s="19" t="n">
        <v>40</v>
      </c>
      <c r="H47" s="24" t="s">
        <v>221</v>
      </c>
      <c r="I47" s="20" t="s">
        <v>193</v>
      </c>
      <c r="J47" s="22"/>
      <c r="K47" s="23"/>
      <c r="L47" s="23" t="str">
        <f aca="false">IF(K47="","",G47*K47)</f>
        <v/>
      </c>
      <c r="M47" s="21" t="s">
        <v>222</v>
      </c>
    </row>
    <row r="48" customFormat="false" ht="33.75" hidden="false" customHeight="true" outlineLevel="0" collapsed="false">
      <c r="A48" s="19" t="n">
        <v>36</v>
      </c>
      <c r="B48" s="20"/>
      <c r="C48" s="20" t="s">
        <v>223</v>
      </c>
      <c r="D48" s="21" t="s">
        <v>224</v>
      </c>
      <c r="E48" s="20" t="s">
        <v>225</v>
      </c>
      <c r="F48" s="20" t="s">
        <v>226</v>
      </c>
      <c r="G48" s="19" t="n">
        <v>1</v>
      </c>
      <c r="H48" s="24" t="s">
        <v>227</v>
      </c>
      <c r="I48" s="20" t="s">
        <v>193</v>
      </c>
      <c r="J48" s="22"/>
      <c r="K48" s="23"/>
      <c r="L48" s="23" t="str">
        <f aca="false">IF(K48="","",G48*K48)</f>
        <v/>
      </c>
      <c r="M48" s="21" t="s">
        <v>228</v>
      </c>
    </row>
    <row r="49" customFormat="false" ht="19.5" hidden="false" customHeight="true" outlineLevel="0" collapsed="false">
      <c r="A49" s="17" t="s">
        <v>229</v>
      </c>
      <c r="B49" s="18" t="s">
        <v>230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customFormat="false" ht="33.75" hidden="false" customHeight="true" outlineLevel="0" collapsed="false">
      <c r="A50" s="19" t="n">
        <v>37</v>
      </c>
      <c r="B50" s="20"/>
      <c r="C50" s="20" t="s">
        <v>231</v>
      </c>
      <c r="D50" s="21" t="s">
        <v>232</v>
      </c>
      <c r="E50" s="20" t="s">
        <v>233</v>
      </c>
      <c r="F50" s="21" t="s">
        <v>234</v>
      </c>
      <c r="G50" s="19" t="n">
        <v>10</v>
      </c>
      <c r="H50" s="24" t="s">
        <v>235</v>
      </c>
      <c r="I50" s="20" t="s">
        <v>236</v>
      </c>
      <c r="J50" s="22"/>
      <c r="K50" s="23"/>
      <c r="L50" s="23" t="str">
        <f aca="false">IF(K50="","",G50*K50)</f>
        <v/>
      </c>
      <c r="M50" s="21" t="s">
        <v>237</v>
      </c>
    </row>
    <row r="51" customFormat="false" ht="33.75" hidden="false" customHeight="true" outlineLevel="0" collapsed="false">
      <c r="A51" s="19" t="n">
        <v>38</v>
      </c>
      <c r="B51" s="20"/>
      <c r="C51" s="20" t="s">
        <v>238</v>
      </c>
      <c r="D51" s="20" t="s">
        <v>239</v>
      </c>
      <c r="E51" s="21" t="s">
        <v>240</v>
      </c>
      <c r="F51" s="21" t="s">
        <v>15</v>
      </c>
      <c r="G51" s="19" t="n">
        <v>6</v>
      </c>
      <c r="H51" s="24" t="s">
        <v>235</v>
      </c>
      <c r="I51" s="20" t="s">
        <v>236</v>
      </c>
      <c r="J51" s="22"/>
      <c r="K51" s="23"/>
      <c r="L51" s="23" t="str">
        <f aca="false">IF(K51="","",G51*K51)</f>
        <v/>
      </c>
      <c r="M51" s="21" t="s">
        <v>241</v>
      </c>
    </row>
    <row r="52" customFormat="false" ht="33.75" hidden="false" customHeight="true" outlineLevel="0" collapsed="false">
      <c r="A52" s="19" t="n">
        <v>39</v>
      </c>
      <c r="B52" s="20"/>
      <c r="C52" s="20" t="s">
        <v>242</v>
      </c>
      <c r="D52" s="20" t="s">
        <v>243</v>
      </c>
      <c r="E52" s="21" t="s">
        <v>244</v>
      </c>
      <c r="F52" s="21" t="s">
        <v>15</v>
      </c>
      <c r="G52" s="19" t="n">
        <v>8</v>
      </c>
      <c r="H52" s="24" t="s">
        <v>235</v>
      </c>
      <c r="I52" s="20" t="s">
        <v>236</v>
      </c>
      <c r="J52" s="22"/>
      <c r="K52" s="23"/>
      <c r="L52" s="23" t="str">
        <f aca="false">IF(K52="","",G52*K52)</f>
        <v/>
      </c>
      <c r="M52" s="21" t="s">
        <v>245</v>
      </c>
    </row>
    <row r="53" customFormat="false" ht="19.5" hidden="false" customHeight="true" outlineLevel="0" collapsed="false">
      <c r="A53" s="17" t="s">
        <v>246</v>
      </c>
      <c r="B53" s="18" t="s">
        <v>247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customFormat="false" ht="33.75" hidden="false" customHeight="true" outlineLevel="0" collapsed="false">
      <c r="A54" s="19" t="n">
        <v>40</v>
      </c>
      <c r="B54" s="20"/>
      <c r="C54" s="20" t="s">
        <v>248</v>
      </c>
      <c r="D54" s="21" t="s">
        <v>249</v>
      </c>
      <c r="E54" s="21" t="s">
        <v>250</v>
      </c>
      <c r="F54" s="20" t="s">
        <v>79</v>
      </c>
      <c r="G54" s="19" t="n">
        <v>1</v>
      </c>
      <c r="H54" s="24" t="s">
        <v>74</v>
      </c>
      <c r="I54" s="20" t="s">
        <v>42</v>
      </c>
      <c r="J54" s="22"/>
      <c r="K54" s="23"/>
      <c r="L54" s="23" t="str">
        <f aca="false">IF(K54="","",G54*K54)</f>
        <v/>
      </c>
      <c r="M54" s="20"/>
    </row>
    <row r="55" customFormat="false" ht="33.75" hidden="false" customHeight="true" outlineLevel="0" collapsed="false">
      <c r="A55" s="19" t="n">
        <v>41</v>
      </c>
      <c r="B55" s="20"/>
      <c r="C55" s="20" t="s">
        <v>251</v>
      </c>
      <c r="D55" s="21" t="s">
        <v>252</v>
      </c>
      <c r="E55" s="21" t="s">
        <v>253</v>
      </c>
      <c r="F55" s="20" t="s">
        <v>42</v>
      </c>
      <c r="G55" s="19" t="n">
        <v>1</v>
      </c>
      <c r="H55" s="24" t="s">
        <v>74</v>
      </c>
      <c r="I55" s="20" t="s">
        <v>42</v>
      </c>
      <c r="J55" s="22"/>
      <c r="K55" s="23"/>
      <c r="L55" s="23" t="str">
        <f aca="false">IF(K55="","",G55*K55)</f>
        <v/>
      </c>
      <c r="M55" s="21" t="s">
        <v>254</v>
      </c>
    </row>
    <row r="56" customFormat="false" ht="33.75" hidden="false" customHeight="true" outlineLevel="0" collapsed="false">
      <c r="A56" s="19" t="n">
        <v>42</v>
      </c>
      <c r="B56" s="20"/>
      <c r="C56" s="20" t="s">
        <v>255</v>
      </c>
      <c r="D56" s="21" t="s">
        <v>256</v>
      </c>
      <c r="E56" s="21" t="s">
        <v>257</v>
      </c>
      <c r="F56" s="20" t="s">
        <v>42</v>
      </c>
      <c r="G56" s="19" t="n">
        <v>1</v>
      </c>
      <c r="H56" s="24" t="s">
        <v>74</v>
      </c>
      <c r="I56" s="20" t="s">
        <v>193</v>
      </c>
      <c r="J56" s="22"/>
      <c r="K56" s="23"/>
      <c r="L56" s="23" t="str">
        <f aca="false">IF(K56="","",G56*K56)</f>
        <v/>
      </c>
      <c r="M56" s="20"/>
    </row>
    <row r="57" customFormat="false" ht="33.75" hidden="false" customHeight="true" outlineLevel="0" collapsed="false">
      <c r="A57" s="19" t="n">
        <v>43</v>
      </c>
      <c r="B57" s="20"/>
      <c r="C57" s="20" t="s">
        <v>258</v>
      </c>
      <c r="D57" s="21" t="s">
        <v>259</v>
      </c>
      <c r="E57" s="21" t="s">
        <v>260</v>
      </c>
      <c r="F57" s="20" t="s">
        <v>42</v>
      </c>
      <c r="G57" s="19" t="n">
        <v>1</v>
      </c>
      <c r="H57" s="24" t="s">
        <v>74</v>
      </c>
      <c r="I57" s="20" t="s">
        <v>42</v>
      </c>
      <c r="J57" s="22"/>
      <c r="K57" s="23"/>
      <c r="L57" s="23" t="str">
        <f aca="false">IF(K57="","",G57*K57)</f>
        <v/>
      </c>
      <c r="M57" s="21" t="s">
        <v>261</v>
      </c>
    </row>
    <row r="58" customFormat="false" ht="33.75" hidden="false" customHeight="true" outlineLevel="0" collapsed="false">
      <c r="A58" s="19" t="n">
        <v>44</v>
      </c>
      <c r="B58" s="20"/>
      <c r="C58" s="20" t="s">
        <v>262</v>
      </c>
      <c r="D58" s="21" t="s">
        <v>263</v>
      </c>
      <c r="E58" s="21" t="s">
        <v>264</v>
      </c>
      <c r="F58" s="20" t="s">
        <v>42</v>
      </c>
      <c r="G58" s="19" t="n">
        <v>1</v>
      </c>
      <c r="H58" s="24" t="s">
        <v>74</v>
      </c>
      <c r="I58" s="20" t="s">
        <v>42</v>
      </c>
      <c r="J58" s="22"/>
      <c r="K58" s="23"/>
      <c r="L58" s="23" t="str">
        <f aca="false">IF(K58="","",G58*K58)</f>
        <v/>
      </c>
      <c r="M58" s="21" t="s">
        <v>265</v>
      </c>
    </row>
    <row r="59" customFormat="false" ht="33.75" hidden="false" customHeight="true" outlineLevel="0" collapsed="false">
      <c r="A59" s="19" t="n">
        <v>45</v>
      </c>
      <c r="B59" s="20"/>
      <c r="C59" s="20" t="s">
        <v>266</v>
      </c>
      <c r="D59" s="21" t="s">
        <v>267</v>
      </c>
      <c r="E59" s="20" t="s">
        <v>268</v>
      </c>
      <c r="F59" s="20" t="s">
        <v>42</v>
      </c>
      <c r="G59" s="19" t="n">
        <v>1</v>
      </c>
      <c r="H59" s="24" t="s">
        <v>74</v>
      </c>
      <c r="I59" s="20" t="s">
        <v>42</v>
      </c>
      <c r="J59" s="22"/>
      <c r="K59" s="23"/>
      <c r="L59" s="23" t="str">
        <f aca="false">IF(K59="","",G59*K59)</f>
        <v/>
      </c>
      <c r="M59" s="20"/>
    </row>
    <row r="60" customFormat="false" ht="33.75" hidden="false" customHeight="true" outlineLevel="0" collapsed="false">
      <c r="A60" s="19" t="n">
        <v>46</v>
      </c>
      <c r="B60" s="20"/>
      <c r="C60" s="20" t="s">
        <v>269</v>
      </c>
      <c r="D60" s="21" t="s">
        <v>270</v>
      </c>
      <c r="E60" s="21" t="s">
        <v>271</v>
      </c>
      <c r="F60" s="20" t="s">
        <v>42</v>
      </c>
      <c r="G60" s="19" t="n">
        <v>1</v>
      </c>
      <c r="H60" s="24" t="s">
        <v>74</v>
      </c>
      <c r="I60" s="20" t="s">
        <v>42</v>
      </c>
      <c r="J60" s="22"/>
      <c r="K60" s="23"/>
      <c r="L60" s="23" t="str">
        <f aca="false">IF(K60="","",G60*K60)</f>
        <v/>
      </c>
      <c r="M60" s="21" t="s">
        <v>272</v>
      </c>
    </row>
    <row r="61" customFormat="false" ht="33.75" hidden="false" customHeight="true" outlineLevel="0" collapsed="false">
      <c r="A61" s="19" t="n">
        <v>47</v>
      </c>
      <c r="B61" s="20"/>
      <c r="C61" s="20" t="s">
        <v>273</v>
      </c>
      <c r="D61" s="21" t="s">
        <v>274</v>
      </c>
      <c r="E61" s="21" t="s">
        <v>275</v>
      </c>
      <c r="F61" s="20" t="s">
        <v>42</v>
      </c>
      <c r="G61" s="19" t="n">
        <v>0</v>
      </c>
      <c r="H61" s="24" t="s">
        <v>276</v>
      </c>
      <c r="I61" s="20" t="s">
        <v>42</v>
      </c>
      <c r="J61" s="22"/>
      <c r="K61" s="23"/>
      <c r="L61" s="23" t="str">
        <f aca="false">IF(K61="","",G61*K61)</f>
        <v/>
      </c>
      <c r="M61" s="21" t="s">
        <v>277</v>
      </c>
    </row>
    <row r="62" customFormat="false" ht="33.75" hidden="false" customHeight="true" outlineLevel="0" collapsed="false">
      <c r="A62" s="19" t="n">
        <v>48</v>
      </c>
      <c r="B62" s="20"/>
      <c r="C62" s="20" t="s">
        <v>278</v>
      </c>
      <c r="D62" s="21" t="s">
        <v>279</v>
      </c>
      <c r="E62" s="21" t="s">
        <v>280</v>
      </c>
      <c r="F62" s="20" t="s">
        <v>42</v>
      </c>
      <c r="G62" s="19" t="n">
        <v>1</v>
      </c>
      <c r="H62" s="24" t="s">
        <v>74</v>
      </c>
      <c r="I62" s="20" t="s">
        <v>42</v>
      </c>
      <c r="J62" s="22"/>
      <c r="K62" s="23"/>
      <c r="L62" s="23" t="str">
        <f aca="false">IF(K62="","",G62*K62)</f>
        <v/>
      </c>
      <c r="M62" s="20"/>
    </row>
    <row r="63" customFormat="false" ht="15" hidden="false" customHeight="true" outlineLevel="0" collapsed="false">
      <c r="A63" s="25"/>
      <c r="B63" s="25"/>
      <c r="C63" s="25"/>
      <c r="D63" s="26" t="s">
        <v>281</v>
      </c>
      <c r="E63" s="25"/>
      <c r="F63" s="25"/>
      <c r="G63" s="25"/>
      <c r="H63" s="25"/>
      <c r="I63" s="25"/>
      <c r="J63" s="25"/>
      <c r="K63" s="25"/>
      <c r="L63" s="27" t="str">
        <f aca="false">IF(SUM(K5:K62)=0,"",SUM(L5:L62))</f>
        <v/>
      </c>
      <c r="M63" s="25"/>
    </row>
    <row r="65" customFormat="false" ht="15" hidden="false" customHeight="true" outlineLevel="0" collapsed="false">
      <c r="A65" s="28" t="s">
        <v>282</v>
      </c>
    </row>
    <row r="66" customFormat="false" ht="15" hidden="false" customHeight="true" outlineLevel="0" collapsed="false">
      <c r="A66" s="29" t="s">
        <v>283</v>
      </c>
      <c r="B66" s="30" t="s">
        <v>147</v>
      </c>
      <c r="C66" s="30" t="s">
        <v>149</v>
      </c>
      <c r="D66" s="29" t="s">
        <v>150</v>
      </c>
      <c r="E66" s="29" t="s">
        <v>156</v>
      </c>
      <c r="F66" s="30" t="s">
        <v>284</v>
      </c>
      <c r="G66" s="29" t="n">
        <v>16</v>
      </c>
      <c r="H66" s="29" t="s">
        <v>80</v>
      </c>
      <c r="I66" s="30" t="s">
        <v>132</v>
      </c>
      <c r="J66" s="30" t="s">
        <v>285</v>
      </c>
      <c r="K66" s="29" t="n">
        <v>1234.56</v>
      </c>
      <c r="L66" s="31" t="n">
        <f aca="false">G66*K66</f>
        <v>19752.96</v>
      </c>
      <c r="M66" s="29" t="s">
        <v>286</v>
      </c>
    </row>
  </sheetData>
  <mergeCells count="12">
    <mergeCell ref="A1:M1"/>
    <mergeCell ref="A2:M2"/>
    <mergeCell ref="B5:M5"/>
    <mergeCell ref="B13:M13"/>
    <mergeCell ref="B17:M17"/>
    <mergeCell ref="B23:M23"/>
    <mergeCell ref="B28:M28"/>
    <mergeCell ref="B36:M36"/>
    <mergeCell ref="B40:M40"/>
    <mergeCell ref="B46:M46"/>
    <mergeCell ref="B49:M49"/>
    <mergeCell ref="B53:M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13" width="6"/>
    <col collapsed="false" customWidth="true" hidden="false" outlineLevel="0" max="2" min="2" style="13" width="30"/>
    <col collapsed="false" customWidth="true" hidden="false" outlineLevel="0" max="3" min="3" style="13" width="52"/>
    <col collapsed="false" customWidth="true" hidden="false" outlineLevel="0" max="4" min="4" style="13" width="26"/>
    <col collapsed="false" customWidth="true" hidden="false" outlineLevel="0" max="5" min="5" style="13" width="60"/>
  </cols>
  <sheetData>
    <row r="1" customFormat="false" ht="21" hidden="false" customHeight="true" outlineLevel="0" collapsed="false">
      <c r="A1" s="14" t="s">
        <v>287</v>
      </c>
      <c r="B1" s="14"/>
      <c r="C1" s="14"/>
      <c r="D1" s="14"/>
      <c r="E1" s="14"/>
    </row>
    <row r="2" customFormat="false" ht="15" hidden="false" customHeight="true" outlineLevel="0" collapsed="false">
      <c r="A2" s="32" t="s">
        <v>288</v>
      </c>
      <c r="B2" s="32"/>
      <c r="C2" s="32"/>
      <c r="D2" s="32"/>
      <c r="E2" s="32"/>
    </row>
    <row r="4" customFormat="false" ht="15" hidden="false" customHeight="true" outlineLevel="0" collapsed="false">
      <c r="A4" s="33" t="s">
        <v>1</v>
      </c>
      <c r="B4" s="33" t="s">
        <v>289</v>
      </c>
      <c r="C4" s="33" t="s">
        <v>50</v>
      </c>
      <c r="D4" s="33" t="s">
        <v>290</v>
      </c>
      <c r="E4" s="33" t="s">
        <v>291</v>
      </c>
    </row>
    <row r="5" customFormat="false" ht="15" hidden="false" customHeight="true" outlineLevel="0" collapsed="false">
      <c r="A5" s="34"/>
      <c r="B5" s="35" t="s">
        <v>292</v>
      </c>
      <c r="C5" s="35"/>
      <c r="D5" s="35"/>
      <c r="E5" s="35"/>
    </row>
    <row r="6" customFormat="false" ht="30" hidden="false" customHeight="true" outlineLevel="0" collapsed="false">
      <c r="A6" s="19" t="n">
        <v>1</v>
      </c>
      <c r="B6" s="20" t="s">
        <v>293</v>
      </c>
      <c r="C6" s="21" t="s">
        <v>294</v>
      </c>
      <c r="D6" s="20" t="s">
        <v>295</v>
      </c>
      <c r="E6" s="21" t="s">
        <v>296</v>
      </c>
    </row>
    <row r="7" customFormat="false" ht="30" hidden="false" customHeight="true" outlineLevel="0" collapsed="false">
      <c r="A7" s="19" t="n">
        <v>2</v>
      </c>
      <c r="B7" s="20" t="s">
        <v>297</v>
      </c>
      <c r="C7" s="21" t="s">
        <v>298</v>
      </c>
      <c r="D7" s="20" t="s">
        <v>295</v>
      </c>
      <c r="E7" s="20"/>
    </row>
    <row r="8" customFormat="false" ht="30" hidden="false" customHeight="true" outlineLevel="0" collapsed="false">
      <c r="A8" s="19" t="n">
        <v>3</v>
      </c>
      <c r="B8" s="20" t="s">
        <v>299</v>
      </c>
      <c r="C8" s="21" t="s">
        <v>300</v>
      </c>
      <c r="D8" s="20" t="s">
        <v>295</v>
      </c>
      <c r="E8" s="20"/>
    </row>
    <row r="9" customFormat="false" ht="30" hidden="false" customHeight="true" outlineLevel="0" collapsed="false">
      <c r="A9" s="19" t="n">
        <v>4</v>
      </c>
      <c r="B9" s="20" t="s">
        <v>301</v>
      </c>
      <c r="C9" s="21" t="s">
        <v>302</v>
      </c>
      <c r="D9" s="20" t="s">
        <v>303</v>
      </c>
      <c r="E9" s="21" t="s">
        <v>304</v>
      </c>
    </row>
    <row r="10" customFormat="false" ht="30" hidden="false" customHeight="true" outlineLevel="0" collapsed="false">
      <c r="A10" s="19" t="n">
        <v>5</v>
      </c>
      <c r="B10" s="20" t="s">
        <v>305</v>
      </c>
      <c r="C10" s="21" t="s">
        <v>306</v>
      </c>
      <c r="D10" s="20" t="s">
        <v>303</v>
      </c>
      <c r="E10" s="21" t="s">
        <v>307</v>
      </c>
    </row>
    <row r="11" customFormat="false" ht="30" hidden="false" customHeight="true" outlineLevel="0" collapsed="false">
      <c r="A11" s="19" t="n">
        <v>6</v>
      </c>
      <c r="B11" s="20" t="s">
        <v>308</v>
      </c>
      <c r="C11" s="21" t="s">
        <v>309</v>
      </c>
      <c r="D11" s="20" t="s">
        <v>310</v>
      </c>
      <c r="E11" s="21" t="s">
        <v>311</v>
      </c>
    </row>
    <row r="12" customFormat="false" ht="30" hidden="false" customHeight="true" outlineLevel="0" collapsed="false">
      <c r="A12" s="19" t="n">
        <v>7</v>
      </c>
      <c r="B12" s="20" t="s">
        <v>312</v>
      </c>
      <c r="C12" s="21" t="s">
        <v>313</v>
      </c>
      <c r="D12" s="20" t="s">
        <v>314</v>
      </c>
      <c r="E12" s="21" t="s">
        <v>315</v>
      </c>
    </row>
    <row r="13" customFormat="false" ht="30" hidden="false" customHeight="true" outlineLevel="0" collapsed="false">
      <c r="A13" s="19" t="n">
        <v>8</v>
      </c>
      <c r="B13" s="20" t="s">
        <v>316</v>
      </c>
      <c r="C13" s="21" t="s">
        <v>317</v>
      </c>
      <c r="D13" s="20" t="s">
        <v>318</v>
      </c>
      <c r="E13" s="21" t="s">
        <v>319</v>
      </c>
    </row>
    <row r="14" customFormat="false" ht="30" hidden="false" customHeight="true" outlineLevel="0" collapsed="false">
      <c r="A14" s="19" t="n">
        <v>9</v>
      </c>
      <c r="B14" s="20" t="s">
        <v>320</v>
      </c>
      <c r="C14" s="21" t="s">
        <v>321</v>
      </c>
      <c r="D14" s="20" t="s">
        <v>322</v>
      </c>
      <c r="E14" s="21" t="s">
        <v>323</v>
      </c>
    </row>
    <row r="15" customFormat="false" ht="15" hidden="false" customHeight="true" outlineLevel="0" collapsed="false">
      <c r="A15" s="34"/>
      <c r="B15" s="35" t="s">
        <v>324</v>
      </c>
      <c r="C15" s="35"/>
      <c r="D15" s="35"/>
      <c r="E15" s="35"/>
    </row>
    <row r="16" customFormat="false" ht="30" hidden="false" customHeight="true" outlineLevel="0" collapsed="false">
      <c r="A16" s="19" t="n">
        <v>10</v>
      </c>
      <c r="B16" s="20" t="s">
        <v>325</v>
      </c>
      <c r="C16" s="21" t="s">
        <v>326</v>
      </c>
      <c r="D16" s="20" t="s">
        <v>327</v>
      </c>
      <c r="E16" s="20" t="s">
        <v>328</v>
      </c>
    </row>
    <row r="17" customFormat="false" ht="30" hidden="false" customHeight="true" outlineLevel="0" collapsed="false">
      <c r="A17" s="19" t="n">
        <v>11</v>
      </c>
      <c r="B17" s="20" t="s">
        <v>329</v>
      </c>
      <c r="C17" s="20" t="s">
        <v>330</v>
      </c>
      <c r="D17" s="20" t="s">
        <v>331</v>
      </c>
      <c r="E17" s="21" t="s">
        <v>332</v>
      </c>
    </row>
    <row r="18" customFormat="false" ht="15" hidden="false" customHeight="true" outlineLevel="0" collapsed="false">
      <c r="A18" s="34"/>
      <c r="B18" s="35" t="s">
        <v>333</v>
      </c>
      <c r="C18" s="35"/>
      <c r="D18" s="35"/>
      <c r="E18" s="35"/>
    </row>
    <row r="19" customFormat="false" ht="30" hidden="false" customHeight="true" outlineLevel="0" collapsed="false">
      <c r="A19" s="19" t="n">
        <v>12</v>
      </c>
      <c r="B19" s="20" t="s">
        <v>334</v>
      </c>
      <c r="C19" s="21" t="s">
        <v>335</v>
      </c>
      <c r="D19" s="20" t="s">
        <v>336</v>
      </c>
      <c r="E19" s="21" t="s">
        <v>337</v>
      </c>
    </row>
    <row r="20" customFormat="false" ht="30" hidden="false" customHeight="true" outlineLevel="0" collapsed="false">
      <c r="A20" s="19" t="n">
        <v>13</v>
      </c>
      <c r="B20" s="21" t="s">
        <v>338</v>
      </c>
      <c r="C20" s="21" t="s">
        <v>339</v>
      </c>
      <c r="D20" s="20" t="s">
        <v>340</v>
      </c>
      <c r="E20" s="21" t="s">
        <v>341</v>
      </c>
    </row>
  </sheetData>
  <mergeCells count="5">
    <mergeCell ref="A1:E1"/>
    <mergeCell ref="A2:E2"/>
    <mergeCell ref="B5:E5"/>
    <mergeCell ref="B15:E15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DingTalk</dc:creator>
  <dc:description/>
  <dc:language>en-US</dc:language>
  <cp:lastModifiedBy>Gerry </cp:lastModifiedBy>
  <dcterms:modified xsi:type="dcterms:W3CDTF">2026-09-08T02:40:49Z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ED64E037CE724D23BBEB6F091269A4FD_12</vt:lpwstr>
  </property>
  <property fmtid="{D5CDD505-2E9C-101B-9397-08002B2CF9AE}" pid="4" name="KSOProductBuildVer">
    <vt:lpwstr>2052-12.1.0.28043</vt:lpwstr>
  </property>
</Properties>
</file>