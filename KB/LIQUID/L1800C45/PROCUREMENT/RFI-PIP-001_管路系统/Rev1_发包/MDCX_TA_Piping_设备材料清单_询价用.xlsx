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设备材料清单" sheetId="1" state="visible" r:id="rId3"/>
    <sheet name="随附图纸与文件清单" sheetId="2" state="visible" r:id="rId4"/>
  </sheets>
  <definedNames>
    <definedName function="false" hidden="false" localSheetId="0" name="_xlnm.Print_Titles" vbProcedure="false">设备材料清单!$4:$4</definedName>
    <definedName function="false" hidden="false" localSheetId="1" name="_xlnm.Print_Titles" vbProcedure="false">随附图纸与文件清单!$4:$4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<sst xmlns="http://schemas.openxmlformats.org/spreadsheetml/2006/main" count="425" uniqueCount="300">
  <si>
    <r>
      <rPr>
        <b val="true"/>
        <sz val="14"/>
        <rFont val="微软雅黑"/>
        <family val="0"/>
        <charset val="1"/>
      </rPr>
      <t xml:space="preserve">45 </t>
    </r>
    <r>
      <rPr>
        <b val="true"/>
        <sz val="14"/>
        <rFont val="Noto Sans CJK SC"/>
        <family val="2"/>
      </rPr>
      <t xml:space="preserve">尺液冷算力模块 上部模块（</t>
    </r>
    <r>
      <rPr>
        <b val="true"/>
        <sz val="14"/>
        <rFont val="微软雅黑"/>
        <family val="0"/>
        <charset val="1"/>
      </rPr>
      <t xml:space="preserve">TOP Add-on</t>
    </r>
    <r>
      <rPr>
        <b val="true"/>
        <sz val="14"/>
        <rFont val="Noto Sans CJK SC"/>
        <family val="2"/>
      </rPr>
      <t xml:space="preserve">）管路系统　设备 </t>
    </r>
    <r>
      <rPr>
        <b val="true"/>
        <sz val="14"/>
        <rFont val="微软雅黑"/>
        <family val="0"/>
        <charset val="1"/>
      </rPr>
      <t xml:space="preserve">/ </t>
    </r>
    <r>
      <rPr>
        <b val="true"/>
        <sz val="14"/>
        <rFont val="Noto Sans CJK SC"/>
        <family val="2"/>
      </rPr>
      <t xml:space="preserve">材料清单（询价用）　</t>
    </r>
    <r>
      <rPr>
        <b val="true"/>
        <sz val="14"/>
        <rFont val="微软雅黑"/>
        <family val="0"/>
        <charset val="1"/>
      </rPr>
      <t xml:space="preserve">RFI-PIP-001 Rev.1</t>
    </r>
  </si>
  <si>
    <r>
      <rPr>
        <sz val="10"/>
        <color rgb="FFC00000"/>
        <rFont val="Noto Sans CJK SC"/>
        <family val="2"/>
      </rPr>
      <t xml:space="preserve">填表说明：① 黄色底色的三列（厂家建议 </t>
    </r>
    <r>
      <rPr>
        <sz val="10"/>
        <color rgb="FFC00000"/>
        <rFont val="微软雅黑"/>
        <family val="0"/>
        <charset val="1"/>
      </rPr>
      <t xml:space="preserve">/ </t>
    </r>
    <r>
      <rPr>
        <sz val="10"/>
        <color rgb="FFC00000"/>
        <rFont val="Noto Sans CJK SC"/>
        <family val="2"/>
      </rPr>
      <t xml:space="preserve">单价 </t>
    </r>
    <r>
      <rPr>
        <sz val="10"/>
        <color rgb="FFC00000"/>
        <rFont val="微软雅黑"/>
        <family val="0"/>
        <charset val="1"/>
      </rPr>
      <t xml:space="preserve">/ </t>
    </r>
    <r>
      <rPr>
        <sz val="10"/>
        <color rgb="FFC00000"/>
        <rFont val="Noto Sans CJK SC"/>
        <family val="2"/>
      </rPr>
      <t xml:space="preserve">合价）由贵司填写；其余为 </t>
    </r>
    <r>
      <rPr>
        <sz val="10"/>
        <color rgb="FFC00000"/>
        <rFont val="微软雅黑"/>
        <family val="0"/>
        <charset val="1"/>
      </rPr>
      <t xml:space="preserve">MDCX </t>
    </r>
    <r>
      <rPr>
        <sz val="10"/>
        <color rgb="FFC00000"/>
        <rFont val="Noto Sans CJK SC"/>
        <family val="2"/>
      </rPr>
      <t xml:space="preserve">给定口径，请勿修改。② 本次为 </t>
    </r>
    <r>
      <rPr>
        <sz val="10"/>
        <color rgb="FFC00000"/>
        <rFont val="微软雅黑"/>
        <family val="0"/>
        <charset val="1"/>
      </rPr>
      <t xml:space="preserve">RFI </t>
    </r>
    <r>
      <rPr>
        <sz val="10"/>
        <color rgb="FFC00000"/>
        <rFont val="Noto Sans CJK SC"/>
        <family val="2"/>
      </rPr>
      <t xml:space="preserve">阶段，</t>
    </r>
    <r>
      <rPr>
        <sz val="10"/>
        <color rgb="FFC00000"/>
        <rFont val="微软雅黑"/>
        <family val="0"/>
        <charset val="1"/>
      </rPr>
      <t xml:space="preserve">MDCX </t>
    </r>
    <r>
      <rPr>
        <sz val="10"/>
        <color rgb="FFC00000"/>
        <rFont val="Noto Sans CJK SC"/>
        <family val="2"/>
      </rPr>
      <t xml:space="preserve">不提供任何预算金额。③ 规格为三维模型实测几何值；壁厚、材质牌号、压力等级、法兰标准、品牌型号请在「厂家建议」列填报。④ 阀体 </t>
    </r>
    <r>
      <rPr>
        <sz val="10"/>
        <color rgb="FFC00000"/>
        <rFont val="微软雅黑"/>
        <family val="0"/>
        <charset val="1"/>
      </rPr>
      <t xml:space="preserve">/ </t>
    </r>
    <r>
      <rPr>
        <sz val="10"/>
        <color rgb="FFC00000"/>
        <rFont val="Noto Sans CJK SC"/>
        <family val="2"/>
      </rPr>
      <t xml:space="preserve">手轮 </t>
    </r>
    <r>
      <rPr>
        <sz val="10"/>
        <color rgb="FFC00000"/>
        <rFont val="微软雅黑"/>
        <family val="0"/>
        <charset val="1"/>
      </rPr>
      <t xml:space="preserve">/ </t>
    </r>
    <r>
      <rPr>
        <sz val="10"/>
        <color rgb="FFC00000"/>
        <rFont val="Noto Sans CJK SC"/>
        <family val="2"/>
      </rPr>
      <t xml:space="preserve">表组为包络尺寸，实际选型外形不得超出。⑤ 若选型导致件数变化，请以增行方式说明，勿改动原有行。⑥ 合价列已设公式 </t>
    </r>
    <r>
      <rPr>
        <sz val="10"/>
        <color rgb="FFC00000"/>
        <rFont val="微软雅黑"/>
        <family val="0"/>
        <charset val="1"/>
      </rPr>
      <t xml:space="preserve">= </t>
    </r>
    <r>
      <rPr>
        <sz val="10"/>
        <color rgb="FFC00000"/>
        <rFont val="Noto Sans CJK SC"/>
        <family val="2"/>
      </rPr>
      <t xml:space="preserve">数量 </t>
    </r>
    <r>
      <rPr>
        <sz val="10"/>
        <color rgb="FFC00000"/>
        <rFont val="微软雅黑"/>
        <family val="0"/>
        <charset val="1"/>
      </rPr>
      <t xml:space="preserve">× </t>
    </r>
    <r>
      <rPr>
        <sz val="10"/>
        <color rgb="FFC00000"/>
        <rFont val="Noto Sans CJK SC"/>
        <family val="2"/>
      </rPr>
      <t xml:space="preserve">单价。</t>
    </r>
  </si>
  <si>
    <t xml:space="preserve">序号</t>
  </si>
  <si>
    <t xml:space="preserve">分项</t>
  </si>
  <si>
    <r>
      <rPr>
        <b val="true"/>
        <sz val="10"/>
        <color rgb="FFFFFFFF"/>
        <rFont val="Noto Sans CJK SC"/>
        <family val="2"/>
      </rPr>
      <t xml:space="preserve">位号 </t>
    </r>
    <r>
      <rPr>
        <b val="true"/>
        <sz val="10"/>
        <color rgb="FFFFFFFF"/>
        <rFont val="微软雅黑"/>
        <family val="0"/>
        <charset val="1"/>
      </rPr>
      <t xml:space="preserve">TAG</t>
    </r>
  </si>
  <si>
    <t xml:space="preserve">名称</t>
  </si>
  <si>
    <r>
      <rPr>
        <b val="true"/>
        <sz val="10"/>
        <color rgb="FFFFFFFF"/>
        <rFont val="Noto Sans CJK SC"/>
        <family val="2"/>
      </rPr>
      <t xml:space="preserve">规格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包络尺寸（</t>
    </r>
    <r>
      <rPr>
        <b val="true"/>
        <sz val="10"/>
        <color rgb="FFFFFFFF"/>
        <rFont val="微软雅黑"/>
        <family val="0"/>
        <charset val="1"/>
      </rPr>
      <t xml:space="preserve">mm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</si>
  <si>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材质要求（</t>
    </r>
    <r>
      <rPr>
        <b val="true"/>
        <sz val="10"/>
        <color rgb="FFFFFFFF"/>
        <rFont val="微软雅黑"/>
        <family val="0"/>
        <charset val="1"/>
      </rPr>
      <t xml:space="preserve">MDCX </t>
    </r>
    <r>
      <rPr>
        <b val="true"/>
        <sz val="10"/>
        <color rgb="FFFFFFFF"/>
        <rFont val="Noto Sans CJK SC"/>
        <family val="2"/>
      </rPr>
      <t xml:space="preserve">口径）</t>
    </r>
  </si>
  <si>
    <t xml:space="preserve">数量</t>
  </si>
  <si>
    <t xml:space="preserve">单位</t>
  </si>
  <si>
    <t xml:space="preserve">对应图号</t>
  </si>
  <si>
    <r>
      <rPr>
        <b val="true"/>
        <sz val="10"/>
        <color rgb="FFFFFFFF"/>
        <rFont val="Noto Sans CJK SC"/>
        <family val="2"/>
      </rPr>
      <t xml:space="preserve">厂家建议（壁厚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材质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标准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品牌型号）</t>
    </r>
  </si>
  <si>
    <t xml:space="preserve">单价（元，含税）</t>
  </si>
  <si>
    <t xml:space="preserve">合价（元，含税）</t>
  </si>
  <si>
    <t xml:space="preserve">备注</t>
  </si>
  <si>
    <t xml:space="preserve">A</t>
  </si>
  <si>
    <r>
      <rPr>
        <b val="true"/>
        <sz val="10"/>
        <rFont val="Noto Sans CJK SC"/>
        <family val="2"/>
      </rPr>
      <t xml:space="preserve">一次侧总管系统（</t>
    </r>
    <r>
      <rPr>
        <b val="true"/>
        <sz val="10"/>
        <rFont val="微软雅黑"/>
        <family val="0"/>
        <charset val="1"/>
      </rPr>
      <t xml:space="preserve">PRI</t>
    </r>
    <r>
      <rPr>
        <b val="true"/>
        <sz val="10"/>
        <rFont val="Noto Sans CJK SC"/>
        <family val="2"/>
      </rPr>
      <t xml:space="preserve">）</t>
    </r>
  </si>
  <si>
    <t xml:space="preserve">PRI-S</t>
  </si>
  <si>
    <t xml:space="preserve">一次侧供水总管</t>
  </si>
  <si>
    <r>
      <rPr>
        <sz val="9"/>
        <rFont val="微软雅黑"/>
        <family val="0"/>
        <charset val="1"/>
      </rPr>
      <t xml:space="preserve">OD168.3</t>
    </r>
    <r>
      <rPr>
        <sz val="9"/>
        <rFont val="Noto Sans CJK SC"/>
        <family val="2"/>
      </rPr>
      <t xml:space="preserve">（</t>
    </r>
    <r>
      <rPr>
        <sz val="9"/>
        <rFont val="微软雅黑"/>
        <family val="0"/>
        <charset val="1"/>
      </rPr>
      <t xml:space="preserve">DN150</t>
    </r>
    <r>
      <rPr>
        <sz val="9"/>
        <rFont val="Noto Sans CJK SC"/>
        <family val="2"/>
      </rPr>
      <t xml:space="preserve">）；</t>
    </r>
    <r>
      <rPr>
        <sz val="9"/>
        <rFont val="微软雅黑"/>
        <family val="0"/>
        <charset val="1"/>
      </rPr>
      <t xml:space="preserve">CL EL.+3612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y=−9700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x 351…13536</t>
    </r>
  </si>
  <si>
    <r>
      <rPr>
        <sz val="9"/>
        <rFont val="Noto Sans CJK SC"/>
        <family val="2"/>
      </rPr>
      <t xml:space="preserve">一次侧可选：</t>
    </r>
    <r>
      <rPr>
        <sz val="9"/>
        <rFont val="微软雅黑"/>
        <family val="0"/>
        <charset val="1"/>
      </rPr>
      <t xml:space="preserve">SS304/SS316L </t>
    </r>
    <r>
      <rPr>
        <sz val="9"/>
        <rFont val="Noto Sans CJK SC"/>
        <family val="2"/>
      </rPr>
      <t xml:space="preserve">或碳钢内外防腐（两案分别报价）</t>
    </r>
  </si>
  <si>
    <t xml:space="preserve">m</t>
  </si>
  <si>
    <r>
      <rPr>
        <sz val="9"/>
        <rFont val="微软雅黑"/>
        <family val="0"/>
        <charset val="1"/>
      </rPr>
      <t xml:space="preserve">GA-01</t>
    </r>
    <r>
      <rPr>
        <sz val="9"/>
        <rFont val="Noto Sans CJK SC"/>
        <family val="2"/>
      </rPr>
      <t xml:space="preserve">～</t>
    </r>
    <r>
      <rPr>
        <sz val="9"/>
        <rFont val="微软雅黑"/>
        <family val="0"/>
        <charset val="1"/>
      </rPr>
      <t xml:space="preserve">03 / GA-05</t>
    </r>
  </si>
  <si>
    <t xml:space="preserve">PRI-R</t>
  </si>
  <si>
    <t xml:space="preserve">一次侧回水总管</t>
  </si>
  <si>
    <r>
      <rPr>
        <sz val="9"/>
        <rFont val="微软雅黑"/>
        <family val="0"/>
        <charset val="1"/>
      </rPr>
      <t xml:space="preserve">OD168.3</t>
    </r>
    <r>
      <rPr>
        <sz val="9"/>
        <rFont val="Noto Sans CJK SC"/>
        <family val="2"/>
      </rPr>
      <t xml:space="preserve">（</t>
    </r>
    <r>
      <rPr>
        <sz val="9"/>
        <rFont val="微软雅黑"/>
        <family val="0"/>
        <charset val="1"/>
      </rPr>
      <t xml:space="preserve">DN150</t>
    </r>
    <r>
      <rPr>
        <sz val="9"/>
        <rFont val="Noto Sans CJK SC"/>
        <family val="2"/>
      </rPr>
      <t xml:space="preserve">）；</t>
    </r>
    <r>
      <rPr>
        <sz val="9"/>
        <rFont val="微软雅黑"/>
        <family val="0"/>
        <charset val="1"/>
      </rPr>
      <t xml:space="preserve">CL EL.+3830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y=−9700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x 176…13706</t>
    </r>
  </si>
  <si>
    <t xml:space="preserve">PRI-FIT</t>
  </si>
  <si>
    <t xml:space="preserve">一次侧弯头、三通、法兰、接管</t>
  </si>
  <si>
    <t xml:space="preserve">配套；三通全部落在直段</t>
  </si>
  <si>
    <t xml:space="preserve">套</t>
  </si>
  <si>
    <r>
      <rPr>
        <sz val="9"/>
        <rFont val="微软雅黑"/>
        <family val="0"/>
        <charset val="1"/>
      </rPr>
      <t xml:space="preserve">GA-01</t>
    </r>
    <r>
      <rPr>
        <sz val="9"/>
        <rFont val="Noto Sans CJK SC"/>
        <family val="2"/>
      </rPr>
      <t xml:space="preserve">～</t>
    </r>
    <r>
      <rPr>
        <sz val="9"/>
        <rFont val="微软雅黑"/>
        <family val="0"/>
        <charset val="1"/>
      </rPr>
      <t xml:space="preserve">03</t>
    </r>
  </si>
  <si>
    <t xml:space="preserve">QC-PRI</t>
  </si>
  <si>
    <t xml:space="preserve">一次侧快接接头</t>
  </si>
  <si>
    <r>
      <rPr>
        <sz val="9"/>
        <rFont val="Noto Sans CJK SC"/>
        <family val="2"/>
      </rPr>
      <t xml:space="preserve">本体 </t>
    </r>
    <r>
      <rPr>
        <sz val="9"/>
        <rFont val="微软雅黑"/>
        <family val="0"/>
        <charset val="1"/>
      </rPr>
      <t xml:space="preserve">Ø245×140 + </t>
    </r>
    <r>
      <rPr>
        <sz val="9"/>
        <rFont val="Noto Sans CJK SC"/>
        <family val="2"/>
      </rPr>
      <t xml:space="preserve">卡套 </t>
    </r>
    <r>
      <rPr>
        <sz val="9"/>
        <rFont val="微软雅黑"/>
        <family val="0"/>
        <charset val="1"/>
      </rPr>
      <t xml:space="preserve">Ø267×45</t>
    </r>
    <r>
      <rPr>
        <sz val="9"/>
        <rFont val="Noto Sans CJK SC"/>
        <family val="2"/>
      </rPr>
      <t xml:space="preserve">；母头侧带防尘盖</t>
    </r>
  </si>
  <si>
    <r>
      <rPr>
        <sz val="9"/>
        <rFont val="微软雅黑"/>
        <family val="0"/>
        <charset val="1"/>
      </rPr>
      <t xml:space="preserve">SS304 / SS316L</t>
    </r>
    <r>
      <rPr>
        <sz val="9"/>
        <rFont val="Noto Sans CJK SC"/>
        <family val="2"/>
      </rPr>
      <t xml:space="preserve">（严禁铝、镀锌件、铜及铜合金）</t>
    </r>
  </si>
  <si>
    <t xml:space="preserve">只</t>
  </si>
  <si>
    <t xml:space="preserve">GA-01</t>
  </si>
  <si>
    <r>
      <rPr>
        <sz val="9"/>
        <rFont val="微软雅黑"/>
        <family val="0"/>
        <charset val="1"/>
      </rPr>
      <t xml:space="preserve">2 </t>
    </r>
    <r>
      <rPr>
        <sz val="9"/>
        <rFont val="Noto Sans CJK SC"/>
        <family val="2"/>
      </rPr>
      <t xml:space="preserve">对；上界面</t>
    </r>
  </si>
  <si>
    <t xml:space="preserve">AAV</t>
  </si>
  <si>
    <r>
      <rPr>
        <sz val="9"/>
        <rFont val="Noto Sans CJK SC"/>
        <family val="2"/>
      </rPr>
      <t xml:space="preserve">自动排气阀 </t>
    </r>
    <r>
      <rPr>
        <sz val="9"/>
        <rFont val="微软雅黑"/>
        <family val="0"/>
        <charset val="1"/>
      </rPr>
      <t xml:space="preserve">DN25</t>
    </r>
  </si>
  <si>
    <r>
      <rPr>
        <sz val="9"/>
        <rFont val="Noto Sans CJK SC"/>
        <family val="2"/>
      </rPr>
      <t xml:space="preserve">本体 </t>
    </r>
    <r>
      <rPr>
        <sz val="9"/>
        <rFont val="微软雅黑"/>
        <family val="0"/>
        <charset val="1"/>
      </rPr>
      <t xml:space="preserve">Ø90×100</t>
    </r>
    <r>
      <rPr>
        <sz val="9"/>
        <rFont val="Noto Sans CJK SC"/>
        <family val="2"/>
      </rPr>
      <t xml:space="preserve">；装于供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回总管最高点</t>
    </r>
  </si>
  <si>
    <t xml:space="preserve">AAV-BV</t>
  </si>
  <si>
    <r>
      <rPr>
        <sz val="9"/>
        <rFont val="Noto Sans CJK SC"/>
        <family val="2"/>
      </rPr>
      <t xml:space="preserve">排气隔离球阀 </t>
    </r>
    <r>
      <rPr>
        <sz val="9"/>
        <rFont val="微软雅黑"/>
        <family val="0"/>
        <charset val="1"/>
      </rPr>
      <t xml:space="preserve">DN25</t>
    </r>
  </si>
  <si>
    <t xml:space="preserve">Ø60×50</t>
  </si>
  <si>
    <t xml:space="preserve">AAV-ST</t>
  </si>
  <si>
    <t xml:space="preserve">排气短管</t>
  </si>
  <si>
    <r>
      <rPr>
        <sz val="9"/>
        <rFont val="微软雅黑"/>
        <family val="0"/>
        <charset val="1"/>
      </rPr>
      <t xml:space="preserve">Ø34</t>
    </r>
    <r>
      <rPr>
        <sz val="9"/>
        <rFont val="Noto Sans CJK SC"/>
        <family val="2"/>
      </rPr>
      <t xml:space="preserve">；</t>
    </r>
    <r>
      <rPr>
        <sz val="9"/>
        <rFont val="微软雅黑"/>
        <family val="0"/>
        <charset val="1"/>
      </rPr>
      <t xml:space="preserve">EL.+3600…+3920</t>
    </r>
  </si>
  <si>
    <t xml:space="preserve">支</t>
  </si>
  <si>
    <t xml:space="preserve">B</t>
  </si>
  <si>
    <r>
      <rPr>
        <b val="true"/>
        <sz val="10"/>
        <rFont val="Noto Sans CJK SC"/>
        <family val="2"/>
      </rPr>
      <t xml:space="preserve">二次侧高温回路 </t>
    </r>
    <r>
      <rPr>
        <b val="true"/>
        <sz val="10"/>
        <rFont val="微软雅黑"/>
        <family val="0"/>
        <charset val="1"/>
      </rPr>
      <t xml:space="preserve">HT / DLC</t>
    </r>
  </si>
  <si>
    <t xml:space="preserve">HT-S</t>
  </si>
  <si>
    <t xml:space="preserve">高温供水主管（两端蛇形过渡）</t>
  </si>
  <si>
    <r>
      <rPr>
        <sz val="9"/>
        <rFont val="微软雅黑"/>
        <family val="0"/>
        <charset val="1"/>
      </rPr>
      <t xml:space="preserve">OD134</t>
    </r>
    <r>
      <rPr>
        <sz val="9"/>
        <rFont val="Noto Sans CJK SC"/>
        <family val="2"/>
      </rPr>
      <t xml:space="preserve">（</t>
    </r>
    <r>
      <rPr>
        <sz val="9"/>
        <rFont val="微软雅黑"/>
        <family val="0"/>
        <charset val="1"/>
      </rPr>
      <t xml:space="preserve">DN125</t>
    </r>
    <r>
      <rPr>
        <sz val="9"/>
        <rFont val="Noto Sans CJK SC"/>
        <family val="2"/>
      </rPr>
      <t xml:space="preserve">）；直管 </t>
    </r>
    <r>
      <rPr>
        <sz val="9"/>
        <rFont val="微软雅黑"/>
        <family val="0"/>
        <charset val="1"/>
      </rPr>
      <t xml:space="preserve">CL EL.+3227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y=−9457</t>
    </r>
    <r>
      <rPr>
        <sz val="9"/>
        <rFont val="Noto Sans CJK SC"/>
        <family val="2"/>
      </rPr>
      <t xml:space="preserve">；两端蛇形过渡至 </t>
    </r>
    <r>
      <rPr>
        <sz val="9"/>
        <rFont val="微软雅黑"/>
        <family val="0"/>
        <charset val="1"/>
      </rPr>
      <t xml:space="preserve">CDU </t>
    </r>
    <r>
      <rPr>
        <sz val="9"/>
        <rFont val="Noto Sans CJK SC"/>
        <family val="2"/>
      </rPr>
      <t xml:space="preserve">二次侧法兰；</t>
    </r>
    <r>
      <rPr>
        <sz val="9"/>
        <rFont val="微软雅黑"/>
        <family val="0"/>
        <charset val="1"/>
      </rPr>
      <t xml:space="preserve">x 746…11980</t>
    </r>
  </si>
  <si>
    <t xml:space="preserve">条</t>
  </si>
  <si>
    <r>
      <rPr>
        <sz val="9"/>
        <rFont val="微软雅黑"/>
        <family val="0"/>
        <charset val="1"/>
      </rPr>
      <t xml:space="preserve">GA-01</t>
    </r>
    <r>
      <rPr>
        <sz val="9"/>
        <rFont val="Noto Sans CJK SC"/>
        <family val="2"/>
      </rPr>
      <t xml:space="preserve">～</t>
    </r>
    <r>
      <rPr>
        <sz val="9"/>
        <rFont val="微软雅黑"/>
        <family val="0"/>
        <charset val="1"/>
      </rPr>
      <t xml:space="preserve">03 / GA-04</t>
    </r>
  </si>
  <si>
    <r>
      <rPr>
        <sz val="9"/>
        <rFont val="Noto Sans CJK SC"/>
        <family val="2"/>
      </rPr>
      <t xml:space="preserve">全长约 </t>
    </r>
    <r>
      <rPr>
        <sz val="9"/>
        <rFont val="微软雅黑"/>
        <family val="0"/>
        <charset val="1"/>
      </rPr>
      <t xml:space="preserve">11.6 m </t>
    </r>
    <r>
      <rPr>
        <sz val="9"/>
        <rFont val="Noto Sans CJK SC"/>
        <family val="2"/>
      </rPr>
      <t xml:space="preserve">含弯头</t>
    </r>
  </si>
  <si>
    <t xml:space="preserve">HT-R</t>
  </si>
  <si>
    <t xml:space="preserve">高温回水主管（两端蛇形过渡）</t>
  </si>
  <si>
    <r>
      <rPr>
        <sz val="9"/>
        <rFont val="微软雅黑"/>
        <family val="0"/>
        <charset val="1"/>
      </rPr>
      <t xml:space="preserve">OD134</t>
    </r>
    <r>
      <rPr>
        <sz val="9"/>
        <rFont val="Noto Sans CJK SC"/>
        <family val="2"/>
      </rPr>
      <t xml:space="preserve">（</t>
    </r>
    <r>
      <rPr>
        <sz val="9"/>
        <rFont val="微软雅黑"/>
        <family val="0"/>
        <charset val="1"/>
      </rPr>
      <t xml:space="preserve">DN125</t>
    </r>
    <r>
      <rPr>
        <sz val="9"/>
        <rFont val="Noto Sans CJK SC"/>
        <family val="2"/>
      </rPr>
      <t xml:space="preserve">）；直管 </t>
    </r>
    <r>
      <rPr>
        <sz val="9"/>
        <rFont val="微软雅黑"/>
        <family val="0"/>
        <charset val="1"/>
      </rPr>
      <t xml:space="preserve">CL EL.+3411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y=−9457</t>
    </r>
    <r>
      <rPr>
        <sz val="9"/>
        <rFont val="Noto Sans CJK SC"/>
        <family val="2"/>
      </rPr>
      <t xml:space="preserve">；</t>
    </r>
    <r>
      <rPr>
        <sz val="9"/>
        <rFont val="微软雅黑"/>
        <family val="0"/>
        <charset val="1"/>
      </rPr>
      <t xml:space="preserve">x 336…11570</t>
    </r>
  </si>
  <si>
    <t xml:space="preserve">HT-FIT</t>
  </si>
  <si>
    <r>
      <rPr>
        <sz val="9"/>
        <rFont val="微软雅黑"/>
        <family val="0"/>
        <charset val="1"/>
      </rPr>
      <t xml:space="preserve">HT </t>
    </r>
    <r>
      <rPr>
        <sz val="9"/>
        <rFont val="Noto Sans CJK SC"/>
        <family val="2"/>
      </rPr>
      <t xml:space="preserve">弯头、法兰接管</t>
    </r>
  </si>
  <si>
    <r>
      <rPr>
        <sz val="9"/>
        <rFont val="Noto Sans CJK SC"/>
        <family val="2"/>
      </rPr>
      <t xml:space="preserve">全弯头连接；两端下接 </t>
    </r>
    <r>
      <rPr>
        <sz val="9"/>
        <rFont val="微软雅黑"/>
        <family val="0"/>
        <charset val="1"/>
      </rPr>
      <t xml:space="preserve">CDU </t>
    </r>
    <r>
      <rPr>
        <sz val="9"/>
        <rFont val="Noto Sans CJK SC"/>
        <family val="2"/>
      </rPr>
      <t xml:space="preserve">二次侧穿甲板法兰（</t>
    </r>
    <r>
      <rPr>
        <sz val="9"/>
        <rFont val="微软雅黑"/>
        <family val="0"/>
        <charset val="1"/>
      </rPr>
      <t xml:space="preserve">Ø194×120</t>
    </r>
    <r>
      <rPr>
        <sz val="9"/>
        <rFont val="Noto Sans CJK SC"/>
        <family val="2"/>
      </rPr>
      <t xml:space="preserve">）</t>
    </r>
  </si>
  <si>
    <t xml:space="preserve">GA-04</t>
  </si>
  <si>
    <t xml:space="preserve">C</t>
  </si>
  <si>
    <r>
      <rPr>
        <b val="true"/>
        <sz val="10"/>
        <rFont val="Noto Sans CJK SC"/>
        <family val="2"/>
      </rPr>
      <t xml:space="preserve">二次侧低温回路 </t>
    </r>
    <r>
      <rPr>
        <b val="true"/>
        <sz val="10"/>
        <rFont val="微软雅黑"/>
        <family val="0"/>
        <charset val="1"/>
      </rPr>
      <t xml:space="preserve">LT / CW</t>
    </r>
  </si>
  <si>
    <t xml:space="preserve">LT-S</t>
  </si>
  <si>
    <t xml:space="preserve">低温供水总管</t>
  </si>
  <si>
    <r>
      <rPr>
        <sz val="9"/>
        <rFont val="微软雅黑"/>
        <family val="0"/>
        <charset val="1"/>
      </rPr>
      <t xml:space="preserve">OD114.3</t>
    </r>
    <r>
      <rPr>
        <sz val="9"/>
        <rFont val="Noto Sans CJK SC"/>
        <family val="2"/>
      </rPr>
      <t xml:space="preserve">（</t>
    </r>
    <r>
      <rPr>
        <sz val="9"/>
        <rFont val="微软雅黑"/>
        <family val="0"/>
        <charset val="1"/>
      </rPr>
      <t xml:space="preserve">DN100</t>
    </r>
    <r>
      <rPr>
        <sz val="9"/>
        <rFont val="Noto Sans CJK SC"/>
        <family val="2"/>
      </rPr>
      <t xml:space="preserve">）；</t>
    </r>
    <r>
      <rPr>
        <sz val="9"/>
        <rFont val="微软雅黑"/>
        <family val="0"/>
        <charset val="1"/>
      </rPr>
      <t xml:space="preserve">CL EL.+3242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y=−8971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x 320…13436</t>
    </r>
  </si>
  <si>
    <t xml:space="preserve">LT-R</t>
  </si>
  <si>
    <t xml:space="preserve">低温回水总管</t>
  </si>
  <si>
    <r>
      <rPr>
        <sz val="9"/>
        <rFont val="微软雅黑"/>
        <family val="0"/>
        <charset val="1"/>
      </rPr>
      <t xml:space="preserve">OD114.3</t>
    </r>
    <r>
      <rPr>
        <sz val="9"/>
        <rFont val="Noto Sans CJK SC"/>
        <family val="2"/>
      </rPr>
      <t xml:space="preserve">（</t>
    </r>
    <r>
      <rPr>
        <sz val="9"/>
        <rFont val="微软雅黑"/>
        <family val="0"/>
        <charset val="1"/>
      </rPr>
      <t xml:space="preserve">DN100</t>
    </r>
    <r>
      <rPr>
        <sz val="9"/>
        <rFont val="Noto Sans CJK SC"/>
        <family val="2"/>
      </rPr>
      <t xml:space="preserve">）；</t>
    </r>
    <r>
      <rPr>
        <sz val="9"/>
        <rFont val="微软雅黑"/>
        <family val="0"/>
        <charset val="1"/>
      </rPr>
      <t xml:space="preserve">CL EL.+3456</t>
    </r>
    <r>
      <rPr>
        <sz val="9"/>
        <rFont val="Noto Sans CJK SC"/>
        <family val="2"/>
      </rPr>
      <t xml:space="preserve">，同 </t>
    </r>
    <r>
      <rPr>
        <sz val="9"/>
        <rFont val="微软雅黑"/>
        <family val="0"/>
        <charset val="1"/>
      </rPr>
      <t xml:space="preserve">y</t>
    </r>
  </si>
  <si>
    <t xml:space="preserve">QC-LT</t>
  </si>
  <si>
    <r>
      <rPr>
        <sz val="9"/>
        <rFont val="微软雅黑"/>
        <family val="0"/>
        <charset val="1"/>
      </rPr>
      <t xml:space="preserve">LT </t>
    </r>
    <r>
      <rPr>
        <sz val="9"/>
        <rFont val="Noto Sans CJK SC"/>
        <family val="2"/>
      </rPr>
      <t xml:space="preserve">快接接头</t>
    </r>
  </si>
  <si>
    <r>
      <rPr>
        <sz val="9"/>
        <rFont val="Noto Sans CJK SC"/>
        <family val="2"/>
      </rPr>
      <t xml:space="preserve">本体 </t>
    </r>
    <r>
      <rPr>
        <sz val="9"/>
        <rFont val="微软雅黑"/>
        <family val="0"/>
        <charset val="1"/>
      </rPr>
      <t xml:space="preserve">Ø167.2×140 + </t>
    </r>
    <r>
      <rPr>
        <sz val="9"/>
        <rFont val="Noto Sans CJK SC"/>
        <family val="2"/>
      </rPr>
      <t xml:space="preserve">卡套 </t>
    </r>
    <r>
      <rPr>
        <sz val="9"/>
        <rFont val="微软雅黑"/>
        <family val="0"/>
        <charset val="1"/>
      </rPr>
      <t xml:space="preserve">Ø182.6×45</t>
    </r>
    <r>
      <rPr>
        <sz val="9"/>
        <rFont val="Noto Sans CJK SC"/>
        <family val="2"/>
      </rPr>
      <t xml:space="preserve">；母头带防尘盖</t>
    </r>
  </si>
  <si>
    <t xml:space="preserve">LT-BP</t>
  </si>
  <si>
    <r>
      <rPr>
        <sz val="9"/>
        <rFont val="微软雅黑"/>
        <family val="0"/>
        <charset val="1"/>
      </rPr>
      <t xml:space="preserve">LT </t>
    </r>
    <r>
      <rPr>
        <sz val="9"/>
        <rFont val="Noto Sans CJK SC"/>
        <family val="2"/>
      </rPr>
      <t xml:space="preserve">旁通管</t>
    </r>
  </si>
  <si>
    <r>
      <rPr>
        <sz val="9"/>
        <rFont val="微软雅黑"/>
        <family val="0"/>
        <charset val="1"/>
      </rPr>
      <t xml:space="preserve">OD76</t>
    </r>
    <r>
      <rPr>
        <sz val="9"/>
        <rFont val="Noto Sans CJK SC"/>
        <family val="2"/>
      </rPr>
      <t xml:space="preserve">；</t>
    </r>
    <r>
      <rPr>
        <sz val="9"/>
        <rFont val="微软雅黑"/>
        <family val="0"/>
        <charset val="1"/>
      </rPr>
      <t xml:space="preserve">EL.+3204…+3494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x≈6250</t>
    </r>
  </si>
  <si>
    <t xml:space="preserve">GA-05 E-E</t>
  </si>
  <si>
    <t xml:space="preserve">LT-FIT</t>
  </si>
  <si>
    <r>
      <rPr>
        <sz val="9"/>
        <rFont val="微软雅黑"/>
        <family val="0"/>
        <charset val="1"/>
      </rPr>
      <t xml:space="preserve">LT </t>
    </r>
    <r>
      <rPr>
        <sz val="9"/>
        <rFont val="Noto Sans CJK SC"/>
        <family val="2"/>
      </rPr>
      <t xml:space="preserve">弯头、法兰、接管</t>
    </r>
  </si>
  <si>
    <t xml:space="preserve">配套</t>
  </si>
  <si>
    <t xml:space="preserve">D</t>
  </si>
  <si>
    <r>
      <rPr>
        <b val="true"/>
        <sz val="10"/>
        <rFont val="Noto Sans CJK SC"/>
        <family val="2"/>
      </rPr>
      <t xml:space="preserve">设备下引支管（合计 </t>
    </r>
    <r>
      <rPr>
        <b val="true"/>
        <sz val="10"/>
        <rFont val="微软雅黑"/>
        <family val="0"/>
        <charset val="1"/>
      </rPr>
      <t xml:space="preserve">40 </t>
    </r>
    <r>
      <rPr>
        <b val="true"/>
        <sz val="10"/>
        <rFont val="Noto Sans CJK SC"/>
        <family val="2"/>
      </rPr>
      <t xml:space="preserve">支）</t>
    </r>
  </si>
  <si>
    <t xml:space="preserve">DROP-DLC</t>
  </si>
  <si>
    <r>
      <rPr>
        <sz val="9"/>
        <rFont val="微软雅黑"/>
        <family val="0"/>
        <charset val="1"/>
      </rPr>
      <t xml:space="preserve">DLC </t>
    </r>
    <r>
      <rPr>
        <sz val="9"/>
        <rFont val="Noto Sans CJK SC"/>
        <family val="2"/>
      </rPr>
      <t xml:space="preserve">机柜下引立管</t>
    </r>
  </si>
  <si>
    <r>
      <rPr>
        <sz val="9"/>
        <rFont val="微软雅黑"/>
        <family val="0"/>
        <charset val="1"/>
      </rPr>
      <t xml:space="preserve">OD76.1</t>
    </r>
    <r>
      <rPr>
        <sz val="9"/>
        <rFont val="Noto Sans CJK SC"/>
        <family val="2"/>
      </rPr>
      <t xml:space="preserve">（</t>
    </r>
    <r>
      <rPr>
        <sz val="9"/>
        <rFont val="微软雅黑"/>
        <family val="0"/>
        <charset val="1"/>
      </rPr>
      <t xml:space="preserve">DN65</t>
    </r>
    <r>
      <rPr>
        <sz val="9"/>
        <rFont val="Noto Sans CJK SC"/>
        <family val="2"/>
      </rPr>
      <t xml:space="preserve">）；</t>
    </r>
    <r>
      <rPr>
        <sz val="9"/>
        <rFont val="微软雅黑"/>
        <family val="0"/>
        <charset val="1"/>
      </rPr>
      <t xml:space="preserve">EL.+3125…+3227</t>
    </r>
    <r>
      <rPr>
        <sz val="9"/>
        <rFont val="Noto Sans CJK SC"/>
        <family val="2"/>
      </rPr>
      <t xml:space="preserve">；柜心 </t>
    </r>
    <r>
      <rPr>
        <sz val="9"/>
        <rFont val="微软雅黑"/>
        <family val="0"/>
        <charset val="1"/>
      </rPr>
      <t xml:space="preserve">±185</t>
    </r>
  </si>
  <si>
    <t xml:space="preserve">GA-04 A-A</t>
  </si>
  <si>
    <r>
      <rPr>
        <sz val="9"/>
        <rFont val="微软雅黑"/>
        <family val="0"/>
        <charset val="1"/>
      </rPr>
      <t xml:space="preserve">8 </t>
    </r>
    <r>
      <rPr>
        <sz val="9"/>
        <rFont val="Noto Sans CJK SC"/>
        <family val="2"/>
      </rPr>
      <t xml:space="preserve">台机柜 </t>
    </r>
    <r>
      <rPr>
        <sz val="9"/>
        <rFont val="微软雅黑"/>
        <family val="0"/>
        <charset val="1"/>
      </rPr>
      <t xml:space="preserve">× </t>
    </r>
    <r>
      <rPr>
        <sz val="9"/>
        <rFont val="Noto Sans CJK SC"/>
        <family val="2"/>
      </rPr>
      <t xml:space="preserve">供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回</t>
    </r>
  </si>
  <si>
    <t xml:space="preserve">DROP-CW</t>
  </si>
  <si>
    <t xml:space="preserve">列间空调下引立管</t>
  </si>
  <si>
    <r>
      <rPr>
        <sz val="9"/>
        <rFont val="微软雅黑"/>
        <family val="0"/>
        <charset val="1"/>
      </rPr>
      <t xml:space="preserve">OD48.3</t>
    </r>
    <r>
      <rPr>
        <sz val="9"/>
        <rFont val="Noto Sans CJK SC"/>
        <family val="2"/>
      </rPr>
      <t xml:space="preserve">（</t>
    </r>
    <r>
      <rPr>
        <sz val="9"/>
        <rFont val="微软雅黑"/>
        <family val="0"/>
        <charset val="1"/>
      </rPr>
      <t xml:space="preserve">DN40</t>
    </r>
    <r>
      <rPr>
        <sz val="9"/>
        <rFont val="Noto Sans CJK SC"/>
        <family val="2"/>
      </rPr>
      <t xml:space="preserve">）；</t>
    </r>
    <r>
      <rPr>
        <sz val="9"/>
        <rFont val="微软雅黑"/>
        <family val="0"/>
        <charset val="1"/>
      </rPr>
      <t xml:space="preserve">EL.+3125…+3242</t>
    </r>
    <r>
      <rPr>
        <sz val="9"/>
        <rFont val="Noto Sans CJK SC"/>
        <family val="2"/>
      </rPr>
      <t xml:space="preserve">；柜心 </t>
    </r>
    <r>
      <rPr>
        <sz val="9"/>
        <rFont val="微软雅黑"/>
        <family val="0"/>
        <charset val="1"/>
      </rPr>
      <t xml:space="preserve">±150</t>
    </r>
  </si>
  <si>
    <t xml:space="preserve">GA-04 B-B</t>
  </si>
  <si>
    <r>
      <rPr>
        <sz val="9"/>
        <rFont val="微软雅黑"/>
        <family val="0"/>
        <charset val="1"/>
      </rPr>
      <t xml:space="preserve">8 </t>
    </r>
    <r>
      <rPr>
        <sz val="9"/>
        <rFont val="Noto Sans CJK SC"/>
        <family val="2"/>
      </rPr>
      <t xml:space="preserve">台 </t>
    </r>
    <r>
      <rPr>
        <sz val="9"/>
        <rFont val="微软雅黑"/>
        <family val="0"/>
        <charset val="1"/>
      </rPr>
      <t xml:space="preserve">× </t>
    </r>
    <r>
      <rPr>
        <sz val="9"/>
        <rFont val="Noto Sans CJK SC"/>
        <family val="2"/>
      </rPr>
      <t xml:space="preserve">供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回</t>
    </r>
  </si>
  <si>
    <t xml:space="preserve">DROP-CDU</t>
  </si>
  <si>
    <r>
      <rPr>
        <sz val="9"/>
        <rFont val="微软雅黑"/>
        <family val="0"/>
        <charset val="1"/>
      </rPr>
      <t xml:space="preserve">CDU </t>
    </r>
    <r>
      <rPr>
        <sz val="9"/>
        <rFont val="Noto Sans CJK SC"/>
        <family val="2"/>
      </rPr>
      <t xml:space="preserve">下引支管</t>
    </r>
  </si>
  <si>
    <r>
      <rPr>
        <sz val="9"/>
        <rFont val="微软雅黑"/>
        <family val="0"/>
        <charset val="1"/>
      </rPr>
      <t xml:space="preserve">DN100 </t>
    </r>
    <r>
      <rPr>
        <sz val="9"/>
        <rFont val="Noto Sans CJK SC"/>
        <family val="2"/>
      </rPr>
      <t xml:space="preserve">口径；</t>
    </r>
    <r>
      <rPr>
        <sz val="9"/>
        <rFont val="微软雅黑"/>
        <family val="0"/>
        <charset val="1"/>
      </rPr>
      <t xml:space="preserve">EQ_01</t>
    </r>
    <r>
      <rPr>
        <sz val="9"/>
        <rFont val="Noto Sans CJK SC"/>
        <family val="2"/>
      </rPr>
      <t xml:space="preserve">、</t>
    </r>
    <r>
      <rPr>
        <sz val="9"/>
        <rFont val="微软雅黑"/>
        <family val="0"/>
        <charset val="1"/>
      </rPr>
      <t xml:space="preserve">EQ_19 </t>
    </r>
    <r>
      <rPr>
        <sz val="9"/>
        <rFont val="Noto Sans CJK SC"/>
        <family val="2"/>
      </rPr>
      <t xml:space="preserve">各 </t>
    </r>
    <r>
      <rPr>
        <sz val="9"/>
        <rFont val="微软雅黑"/>
        <family val="0"/>
        <charset val="1"/>
      </rPr>
      <t xml:space="preserve">4 </t>
    </r>
    <r>
      <rPr>
        <sz val="9"/>
        <rFont val="Noto Sans CJK SC"/>
        <family val="2"/>
      </rPr>
      <t xml:space="preserve">路</t>
    </r>
  </si>
  <si>
    <t xml:space="preserve">GA-04 C-C</t>
  </si>
  <si>
    <r>
      <rPr>
        <sz val="9"/>
        <rFont val="Noto Sans CJK SC"/>
        <family val="2"/>
      </rPr>
      <t xml:space="preserve">一次进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出 </t>
    </r>
    <r>
      <rPr>
        <sz val="9"/>
        <rFont val="微软雅黑"/>
        <family val="0"/>
        <charset val="1"/>
      </rPr>
      <t xml:space="preserve">+ </t>
    </r>
    <r>
      <rPr>
        <sz val="9"/>
        <rFont val="Noto Sans CJK SC"/>
        <family val="2"/>
      </rPr>
      <t xml:space="preserve">二次供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回；模型一次侧接管 </t>
    </r>
    <r>
      <rPr>
        <sz val="9"/>
        <rFont val="微软雅黑"/>
        <family val="0"/>
        <charset val="1"/>
      </rPr>
      <t xml:space="preserve">OD119 / </t>
    </r>
    <r>
      <rPr>
        <sz val="9"/>
        <rFont val="Noto Sans CJK SC"/>
        <family val="2"/>
      </rPr>
      <t xml:space="preserve">短节 </t>
    </r>
    <r>
      <rPr>
        <sz val="9"/>
        <rFont val="微软雅黑"/>
        <family val="0"/>
        <charset val="1"/>
      </rPr>
      <t xml:space="preserve">OD104 </t>
    </r>
    <r>
      <rPr>
        <sz val="9"/>
        <rFont val="Noto Sans CJK SC"/>
        <family val="2"/>
      </rPr>
      <t xml:space="preserve">不一致，按 </t>
    </r>
    <r>
      <rPr>
        <sz val="9"/>
        <rFont val="微软雅黑"/>
        <family val="0"/>
        <charset val="1"/>
      </rPr>
      <t xml:space="preserve">DN100 </t>
    </r>
    <r>
      <rPr>
        <sz val="9"/>
        <rFont val="Noto Sans CJK SC"/>
        <family val="2"/>
      </rPr>
      <t xml:space="preserve">由厂家统一</t>
    </r>
  </si>
  <si>
    <t xml:space="preserve">CDU-SP</t>
  </si>
  <si>
    <r>
      <rPr>
        <sz val="9"/>
        <rFont val="微软雅黑"/>
        <family val="0"/>
        <charset val="1"/>
      </rPr>
      <t xml:space="preserve">CDU </t>
    </r>
    <r>
      <rPr>
        <sz val="9"/>
        <rFont val="Noto Sans CJK SC"/>
        <family val="2"/>
      </rPr>
      <t xml:space="preserve">一次侧短节</t>
    </r>
  </si>
  <si>
    <r>
      <rPr>
        <sz val="9"/>
        <rFont val="微软雅黑"/>
        <family val="0"/>
        <charset val="1"/>
      </rPr>
      <t xml:space="preserve">OD104 × 40</t>
    </r>
    <r>
      <rPr>
        <sz val="9"/>
        <rFont val="Noto Sans CJK SC"/>
        <family val="2"/>
      </rPr>
      <t xml:space="preserve">；接穿甲板法兰</t>
    </r>
  </si>
  <si>
    <t xml:space="preserve">E</t>
  </si>
  <si>
    <r>
      <rPr>
        <b val="true"/>
        <sz val="10"/>
        <rFont val="Noto Sans CJK SC"/>
        <family val="2"/>
      </rPr>
      <t xml:space="preserve">阀门（合计 </t>
    </r>
    <r>
      <rPr>
        <b val="true"/>
        <sz val="10"/>
        <rFont val="微软雅黑"/>
        <family val="0"/>
        <charset val="1"/>
      </rPr>
      <t xml:space="preserve">45 </t>
    </r>
    <r>
      <rPr>
        <b val="true"/>
        <sz val="10"/>
        <rFont val="Noto Sans CJK SC"/>
        <family val="2"/>
      </rPr>
      <t xml:space="preserve">件）</t>
    </r>
  </si>
  <si>
    <t xml:space="preserve">IV-DLC</t>
  </si>
  <si>
    <r>
      <rPr>
        <sz val="9"/>
        <rFont val="Noto Sans CJK SC"/>
        <family val="2"/>
      </rPr>
      <t xml:space="preserve">支管隔离阀 </t>
    </r>
    <r>
      <rPr>
        <sz val="9"/>
        <rFont val="微软雅黑"/>
        <family val="0"/>
        <charset val="1"/>
      </rPr>
      <t xml:space="preserve">DN65</t>
    </r>
  </si>
  <si>
    <r>
      <rPr>
        <sz val="9"/>
        <rFont val="Noto Sans CJK SC"/>
        <family val="2"/>
      </rPr>
      <t xml:space="preserve">阀体包络 </t>
    </r>
    <r>
      <rPr>
        <sz val="9"/>
        <rFont val="微软雅黑"/>
        <family val="0"/>
        <charset val="1"/>
      </rPr>
      <t xml:space="preserve">129.2×129.2×130</t>
    </r>
    <r>
      <rPr>
        <sz val="9"/>
        <rFont val="Noto Sans CJK SC"/>
        <family val="2"/>
      </rPr>
      <t xml:space="preserve">；</t>
    </r>
    <r>
      <rPr>
        <sz val="9"/>
        <rFont val="微软雅黑"/>
        <family val="0"/>
        <charset val="1"/>
      </rPr>
      <t xml:space="preserve">EL.+2995…+3125</t>
    </r>
  </si>
  <si>
    <r>
      <rPr>
        <sz val="9"/>
        <rFont val="Noto Sans CJK SC"/>
        <family val="2"/>
      </rPr>
      <t xml:space="preserve">阀体 </t>
    </r>
    <r>
      <rPr>
        <sz val="9"/>
        <rFont val="微软雅黑"/>
        <family val="0"/>
        <charset val="1"/>
      </rPr>
      <t xml:space="preserve">SS304(CF8)/SS316L(CF3M)</t>
    </r>
    <r>
      <rPr>
        <sz val="9"/>
        <rFont val="Noto Sans CJK SC"/>
        <family val="2"/>
      </rPr>
      <t xml:space="preserve">；阀杆不锈钢；密封件与介质相容</t>
    </r>
  </si>
  <si>
    <t xml:space="preserve">接口型式由厂家明确</t>
  </si>
  <si>
    <t xml:space="preserve">IV-CW</t>
  </si>
  <si>
    <r>
      <rPr>
        <sz val="9"/>
        <rFont val="Noto Sans CJK SC"/>
        <family val="2"/>
      </rPr>
      <t xml:space="preserve">支管隔离阀 </t>
    </r>
    <r>
      <rPr>
        <sz val="9"/>
        <rFont val="微软雅黑"/>
        <family val="0"/>
        <charset val="1"/>
      </rPr>
      <t xml:space="preserve">DN40</t>
    </r>
  </si>
  <si>
    <r>
      <rPr>
        <sz val="9"/>
        <rFont val="Noto Sans CJK SC"/>
        <family val="2"/>
      </rPr>
      <t xml:space="preserve">阀体包络 </t>
    </r>
    <r>
      <rPr>
        <sz val="9"/>
        <rFont val="微软雅黑"/>
        <family val="0"/>
        <charset val="1"/>
      </rPr>
      <t xml:space="preserve">129.2×129.2×130</t>
    </r>
  </si>
  <si>
    <t xml:space="preserve">同上</t>
  </si>
  <si>
    <t xml:space="preserve">IV-CDU</t>
  </si>
  <si>
    <r>
      <rPr>
        <sz val="9"/>
        <rFont val="微软雅黑"/>
        <family val="0"/>
        <charset val="1"/>
      </rPr>
      <t xml:space="preserve">CDU </t>
    </r>
    <r>
      <rPr>
        <sz val="9"/>
        <rFont val="Noto Sans CJK SC"/>
        <family val="2"/>
      </rPr>
      <t xml:space="preserve">一次侧隔离阀 </t>
    </r>
    <r>
      <rPr>
        <sz val="9"/>
        <rFont val="微软雅黑"/>
        <family val="0"/>
        <charset val="1"/>
      </rPr>
      <t xml:space="preserve">DN100</t>
    </r>
  </si>
  <si>
    <r>
      <rPr>
        <sz val="9"/>
        <rFont val="Noto Sans CJK SC"/>
        <family val="2"/>
      </rPr>
      <t xml:space="preserve">阀体包络 </t>
    </r>
    <r>
      <rPr>
        <sz val="9"/>
        <rFont val="微软雅黑"/>
        <family val="0"/>
        <charset val="1"/>
      </rPr>
      <t xml:space="preserve">153.6×156×120</t>
    </r>
  </si>
  <si>
    <t xml:space="preserve">阀前阀后各设压力表</t>
  </si>
  <si>
    <t xml:space="preserve">IV-LT</t>
  </si>
  <si>
    <r>
      <rPr>
        <sz val="9"/>
        <rFont val="微软雅黑"/>
        <family val="0"/>
        <charset val="1"/>
      </rPr>
      <t xml:space="preserve">LT </t>
    </r>
    <r>
      <rPr>
        <sz val="9"/>
        <rFont val="Noto Sans CJK SC"/>
        <family val="2"/>
      </rPr>
      <t xml:space="preserve">总管隔离阀 </t>
    </r>
    <r>
      <rPr>
        <sz val="9"/>
        <rFont val="微软雅黑"/>
        <family val="0"/>
        <charset val="1"/>
      </rPr>
      <t xml:space="preserve">DN100</t>
    </r>
  </si>
  <si>
    <r>
      <rPr>
        <sz val="9"/>
        <rFont val="Noto Sans CJK SC"/>
        <family val="2"/>
      </rPr>
      <t xml:space="preserve">阀体 </t>
    </r>
    <r>
      <rPr>
        <sz val="9"/>
        <rFont val="微软雅黑"/>
        <family val="0"/>
        <charset val="1"/>
      </rPr>
      <t xml:space="preserve">Ø118.4×170</t>
    </r>
  </si>
  <si>
    <t xml:space="preserve">GA-05 D-D</t>
  </si>
  <si>
    <r>
      <rPr>
        <sz val="9"/>
        <rFont val="微软雅黑"/>
        <family val="0"/>
        <charset val="1"/>
      </rPr>
      <t xml:space="preserve">LT-S 2 </t>
    </r>
    <r>
      <rPr>
        <sz val="9"/>
        <rFont val="Noto Sans CJK SC"/>
        <family val="2"/>
      </rPr>
      <t xml:space="preserve">只阀杆朝下（阀型须允许）；</t>
    </r>
    <r>
      <rPr>
        <sz val="9"/>
        <rFont val="微软雅黑"/>
        <family val="0"/>
        <charset val="1"/>
      </rPr>
      <t xml:space="preserve">LT-R 2 </t>
    </r>
    <r>
      <rPr>
        <sz val="9"/>
        <rFont val="Noto Sans CJK SC"/>
        <family val="2"/>
      </rPr>
      <t xml:space="preserve">只水平阀杆</t>
    </r>
  </si>
  <si>
    <t xml:space="preserve">CV-LT</t>
  </si>
  <si>
    <r>
      <rPr>
        <sz val="9"/>
        <rFont val="微软雅黑"/>
        <family val="0"/>
        <charset val="1"/>
      </rPr>
      <t xml:space="preserve">LT </t>
    </r>
    <r>
      <rPr>
        <sz val="9"/>
        <rFont val="Noto Sans CJK SC"/>
        <family val="2"/>
      </rPr>
      <t xml:space="preserve">旁通止回阀 </t>
    </r>
    <r>
      <rPr>
        <sz val="9"/>
        <rFont val="微软雅黑"/>
        <family val="0"/>
        <charset val="1"/>
      </rPr>
      <t xml:space="preserve">DN65</t>
    </r>
  </si>
  <si>
    <r>
      <rPr>
        <sz val="9"/>
        <rFont val="Noto Sans CJK SC"/>
        <family val="2"/>
      </rPr>
      <t xml:space="preserve">对夹式；两侧法兰 </t>
    </r>
    <r>
      <rPr>
        <sz val="9"/>
        <rFont val="微软雅黑"/>
        <family val="0"/>
        <charset val="1"/>
      </rPr>
      <t xml:space="preserve">Ø144×16</t>
    </r>
  </si>
  <si>
    <t xml:space="preserve">PG-CDU</t>
  </si>
  <si>
    <r>
      <rPr>
        <sz val="9"/>
        <rFont val="微软雅黑"/>
        <family val="0"/>
        <charset val="1"/>
      </rPr>
      <t xml:space="preserve">CDU </t>
    </r>
    <r>
      <rPr>
        <sz val="9"/>
        <rFont val="Noto Sans CJK SC"/>
        <family val="2"/>
      </rPr>
      <t xml:space="preserve">压力表组</t>
    </r>
  </si>
  <si>
    <r>
      <rPr>
        <sz val="9"/>
        <rFont val="Noto Sans CJK SC"/>
        <family val="2"/>
      </rPr>
      <t xml:space="preserve">包络 </t>
    </r>
    <r>
      <rPr>
        <sz val="9"/>
        <rFont val="微软雅黑"/>
        <family val="0"/>
        <charset val="1"/>
      </rPr>
      <t xml:space="preserve">62.4×52.5×124</t>
    </r>
  </si>
  <si>
    <t xml:space="preserve">表体不锈钢；量程与精度由厂家建议</t>
  </si>
  <si>
    <t xml:space="preserve">组</t>
  </si>
  <si>
    <r>
      <rPr>
        <sz val="9"/>
        <rFont val="Noto Sans CJK SC"/>
        <family val="2"/>
      </rPr>
      <t xml:space="preserve">阀前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阀后各一</t>
    </r>
  </si>
  <si>
    <t xml:space="preserve">—</t>
  </si>
  <si>
    <r>
      <rPr>
        <sz val="9"/>
        <rFont val="Noto Sans CJK SC"/>
        <family val="2"/>
      </rPr>
      <t xml:space="preserve">（自动排气阀 </t>
    </r>
    <r>
      <rPr>
        <sz val="9"/>
        <rFont val="微软雅黑"/>
        <family val="0"/>
        <charset val="1"/>
      </rPr>
      <t xml:space="preserve">2 </t>
    </r>
    <r>
      <rPr>
        <sz val="9"/>
        <rFont val="Noto Sans CJK SC"/>
        <family val="2"/>
      </rPr>
      <t xml:space="preserve">套 </t>
    </r>
    <r>
      <rPr>
        <sz val="9"/>
        <rFont val="微软雅黑"/>
        <family val="0"/>
        <charset val="1"/>
      </rPr>
      <t xml:space="preserve">+ </t>
    </r>
    <r>
      <rPr>
        <sz val="9"/>
        <rFont val="Noto Sans CJK SC"/>
        <family val="2"/>
      </rPr>
      <t xml:space="preserve">隔离球阀 </t>
    </r>
    <r>
      <rPr>
        <sz val="9"/>
        <rFont val="微软雅黑"/>
        <family val="0"/>
        <charset val="1"/>
      </rPr>
      <t xml:space="preserve">2 </t>
    </r>
    <r>
      <rPr>
        <sz val="9"/>
        <rFont val="Noto Sans CJK SC"/>
        <family val="2"/>
      </rPr>
      <t xml:space="preserve">只已列于 </t>
    </r>
    <r>
      <rPr>
        <sz val="9"/>
        <rFont val="微软雅黑"/>
        <family val="0"/>
        <charset val="1"/>
      </rPr>
      <t xml:space="preserve">A </t>
    </r>
    <r>
      <rPr>
        <sz val="9"/>
        <rFont val="Noto Sans CJK SC"/>
        <family val="2"/>
      </rPr>
      <t xml:space="preserve">分项）</t>
    </r>
  </si>
  <si>
    <r>
      <rPr>
        <sz val="9"/>
        <rFont val="Noto Sans CJK SC"/>
        <family val="2"/>
      </rPr>
      <t xml:space="preserve">计入阀门 </t>
    </r>
    <r>
      <rPr>
        <sz val="9"/>
        <rFont val="微软雅黑"/>
        <family val="0"/>
        <charset val="1"/>
      </rPr>
      <t xml:space="preserve">45 </t>
    </r>
    <r>
      <rPr>
        <sz val="9"/>
        <rFont val="Noto Sans CJK SC"/>
        <family val="2"/>
      </rPr>
      <t xml:space="preserve">件总数</t>
    </r>
  </si>
  <si>
    <t xml:space="preserve">F</t>
  </si>
  <si>
    <r>
      <rPr>
        <b val="true"/>
        <sz val="10"/>
        <rFont val="Noto Sans CJK SC"/>
        <family val="2"/>
      </rPr>
      <t xml:space="preserve">阀门操作件（合计 </t>
    </r>
    <r>
      <rPr>
        <b val="true"/>
        <sz val="10"/>
        <rFont val="微软雅黑"/>
        <family val="0"/>
        <charset val="1"/>
      </rPr>
      <t xml:space="preserve">40 </t>
    </r>
    <r>
      <rPr>
        <b val="true"/>
        <sz val="10"/>
        <rFont val="Noto Sans CJK SC"/>
        <family val="2"/>
      </rPr>
      <t xml:space="preserve">套）</t>
    </r>
  </si>
  <si>
    <t xml:space="preserve">OP-RIGID</t>
  </si>
  <si>
    <t xml:space="preserve">刚性阀杆延长组件</t>
  </si>
  <si>
    <r>
      <rPr>
        <sz val="9"/>
        <rFont val="Noto Sans CJK SC"/>
        <family val="2"/>
      </rPr>
      <t xml:space="preserve">阀杆 </t>
    </r>
    <r>
      <rPr>
        <sz val="9"/>
        <rFont val="微软雅黑"/>
        <family val="0"/>
        <charset val="1"/>
      </rPr>
      <t xml:space="preserve">Ø24</t>
    </r>
    <r>
      <rPr>
        <sz val="9"/>
        <rFont val="Noto Sans CJK SC"/>
        <family val="2"/>
      </rPr>
      <t xml:space="preserve">（长≈</t>
    </r>
    <r>
      <rPr>
        <sz val="9"/>
        <rFont val="微软雅黑"/>
        <family val="0"/>
        <charset val="1"/>
      </rPr>
      <t xml:space="preserve">559</t>
    </r>
    <r>
      <rPr>
        <sz val="9"/>
        <rFont val="Noto Sans CJK SC"/>
        <family val="2"/>
      </rPr>
      <t xml:space="preserve">）</t>
    </r>
    <r>
      <rPr>
        <sz val="9"/>
        <rFont val="微软雅黑"/>
        <family val="0"/>
        <charset val="1"/>
      </rPr>
      <t xml:space="preserve">+ </t>
    </r>
    <r>
      <rPr>
        <sz val="9"/>
        <rFont val="Noto Sans CJK SC"/>
        <family val="2"/>
      </rPr>
      <t xml:space="preserve">支座 </t>
    </r>
    <r>
      <rPr>
        <sz val="9"/>
        <rFont val="微软雅黑"/>
        <family val="0"/>
        <charset val="1"/>
      </rPr>
      <t xml:space="preserve">36×36×63 + </t>
    </r>
    <r>
      <rPr>
        <sz val="9"/>
        <rFont val="Noto Sans CJK SC"/>
        <family val="2"/>
      </rPr>
      <t xml:space="preserve">轮毂 </t>
    </r>
    <r>
      <rPr>
        <sz val="9"/>
        <rFont val="微软雅黑"/>
        <family val="0"/>
        <charset val="1"/>
      </rPr>
      <t xml:space="preserve">Ø40×24</t>
    </r>
  </si>
  <si>
    <r>
      <rPr>
        <sz val="9"/>
        <rFont val="微软雅黑"/>
        <family val="0"/>
        <charset val="1"/>
      </rPr>
      <t xml:space="preserve">A2-70/A4-70 </t>
    </r>
    <r>
      <rPr>
        <sz val="9"/>
        <rFont val="Noto Sans CJK SC"/>
        <family val="2"/>
      </rPr>
      <t xml:space="preserve">不锈钢</t>
    </r>
  </si>
  <si>
    <t xml:space="preserve">GA-04 / GA-08</t>
  </si>
  <si>
    <r>
      <rPr>
        <sz val="9"/>
        <rFont val="Noto Sans CJK SC"/>
        <family val="2"/>
      </rPr>
      <t xml:space="preserve">支管阀 </t>
    </r>
    <r>
      <rPr>
        <sz val="9"/>
        <rFont val="微软雅黑"/>
        <family val="0"/>
        <charset val="1"/>
      </rPr>
      <t xml:space="preserve">32 + CDU </t>
    </r>
    <r>
      <rPr>
        <sz val="9"/>
        <rFont val="Noto Sans CJK SC"/>
        <family val="2"/>
      </rPr>
      <t xml:space="preserve">阀 </t>
    </r>
    <r>
      <rPr>
        <sz val="9"/>
        <rFont val="微软雅黑"/>
        <family val="0"/>
        <charset val="1"/>
      </rPr>
      <t xml:space="preserve">4</t>
    </r>
  </si>
  <si>
    <t xml:space="preserve">OP-GEAR</t>
  </si>
  <si>
    <t xml:space="preserve">锥齿轮箱换向组件</t>
  </si>
  <si>
    <r>
      <rPr>
        <sz val="9"/>
        <rFont val="微软雅黑"/>
        <family val="0"/>
        <charset val="1"/>
      </rPr>
      <t xml:space="preserve">LT-S</t>
    </r>
    <r>
      <rPr>
        <sz val="9"/>
        <rFont val="Noto Sans CJK SC"/>
        <family val="2"/>
      </rPr>
      <t xml:space="preserve">：</t>
    </r>
    <r>
      <rPr>
        <sz val="9"/>
        <rFont val="微软雅黑"/>
        <family val="0"/>
        <charset val="1"/>
      </rPr>
      <t xml:space="preserve">1 </t>
    </r>
    <r>
      <rPr>
        <sz val="9"/>
        <rFont val="Noto Sans CJK SC"/>
        <family val="2"/>
      </rPr>
      <t xml:space="preserve">箱 </t>
    </r>
    <r>
      <rPr>
        <sz val="9"/>
        <rFont val="微软雅黑"/>
        <family val="0"/>
        <charset val="1"/>
      </rPr>
      <t xml:space="preserve">70³ + </t>
    </r>
    <r>
      <rPr>
        <sz val="9"/>
        <rFont val="Noto Sans CJK SC"/>
        <family val="2"/>
      </rPr>
      <t xml:space="preserve">立杆 </t>
    </r>
    <r>
      <rPr>
        <sz val="9"/>
        <rFont val="微软雅黑"/>
        <family val="0"/>
        <charset val="1"/>
      </rPr>
      <t xml:space="preserve">Ø24×58</t>
    </r>
    <r>
      <rPr>
        <sz val="9"/>
        <rFont val="Noto Sans CJK SC"/>
        <family val="2"/>
      </rPr>
      <t xml:space="preserve">（</t>
    </r>
    <r>
      <rPr>
        <sz val="9"/>
        <rFont val="微软雅黑"/>
        <family val="0"/>
        <charset val="1"/>
      </rPr>
      <t xml:space="preserve">2 </t>
    </r>
    <r>
      <rPr>
        <sz val="9"/>
        <rFont val="Noto Sans CJK SC"/>
        <family val="2"/>
      </rPr>
      <t xml:space="preserve">套）；</t>
    </r>
    <r>
      <rPr>
        <sz val="9"/>
        <rFont val="微软雅黑"/>
        <family val="0"/>
        <charset val="1"/>
      </rPr>
      <t xml:space="preserve">LT-R</t>
    </r>
    <r>
      <rPr>
        <sz val="9"/>
        <rFont val="Noto Sans CJK SC"/>
        <family val="2"/>
      </rPr>
      <t xml:space="preserve">：</t>
    </r>
    <r>
      <rPr>
        <sz val="9"/>
        <rFont val="微软雅黑"/>
        <family val="0"/>
        <charset val="1"/>
      </rPr>
      <t xml:space="preserve">2 </t>
    </r>
    <r>
      <rPr>
        <sz val="9"/>
        <rFont val="Noto Sans CJK SC"/>
        <family val="2"/>
      </rPr>
      <t xml:space="preserve">箱 </t>
    </r>
    <r>
      <rPr>
        <sz val="9"/>
        <rFont val="微软雅黑"/>
        <family val="0"/>
        <charset val="1"/>
      </rPr>
      <t xml:space="preserve">60³/50³ + </t>
    </r>
    <r>
      <rPr>
        <sz val="9"/>
        <rFont val="Noto Sans CJK SC"/>
        <family val="2"/>
      </rPr>
      <t xml:space="preserve">立杆 </t>
    </r>
    <r>
      <rPr>
        <sz val="9"/>
        <rFont val="微软雅黑"/>
        <family val="0"/>
        <charset val="1"/>
      </rPr>
      <t xml:space="preserve">Ø24×311</t>
    </r>
    <r>
      <rPr>
        <sz val="9"/>
        <rFont val="Noto Sans CJK SC"/>
        <family val="2"/>
      </rPr>
      <t xml:space="preserve">（</t>
    </r>
    <r>
      <rPr>
        <sz val="9"/>
        <rFont val="微软雅黑"/>
        <family val="0"/>
        <charset val="1"/>
      </rPr>
      <t xml:space="preserve">2 </t>
    </r>
    <r>
      <rPr>
        <sz val="9"/>
        <rFont val="Noto Sans CJK SC"/>
        <family val="2"/>
      </rPr>
      <t xml:space="preserve">套）</t>
    </r>
  </si>
  <si>
    <t xml:space="preserve">不锈钢或防腐处理（报审）</t>
  </si>
  <si>
    <r>
      <rPr>
        <sz val="9"/>
        <rFont val="微软雅黑"/>
        <family val="0"/>
        <charset val="1"/>
      </rPr>
      <t xml:space="preserve">LT </t>
    </r>
    <r>
      <rPr>
        <sz val="9"/>
        <rFont val="Noto Sans CJK SC"/>
        <family val="2"/>
      </rPr>
      <t xml:space="preserve">总管阀专用</t>
    </r>
  </si>
  <si>
    <t xml:space="preserve">OP-HW</t>
  </si>
  <si>
    <t xml:space="preserve">手轮</t>
  </si>
  <si>
    <r>
      <rPr>
        <sz val="9"/>
        <rFont val="微软雅黑"/>
        <family val="0"/>
        <charset val="1"/>
      </rPr>
      <t xml:space="preserve">Ø140 × 19</t>
    </r>
    <r>
      <rPr>
        <sz val="9"/>
        <rFont val="Noto Sans CJK SC"/>
        <family val="2"/>
      </rPr>
      <t xml:space="preserve">；中心 </t>
    </r>
    <r>
      <rPr>
        <sz val="9"/>
        <rFont val="微软雅黑"/>
        <family val="0"/>
        <charset val="1"/>
      </rPr>
      <t xml:space="preserve">EL.+3090</t>
    </r>
    <r>
      <rPr>
        <sz val="9"/>
        <rFont val="Noto Sans CJK SC"/>
        <family val="2"/>
      </rPr>
      <t xml:space="preserve">，全部位于同一操作面</t>
    </r>
  </si>
  <si>
    <t xml:space="preserve">GA-08</t>
  </si>
  <si>
    <r>
      <rPr>
        <sz val="9"/>
        <rFont val="Noto Sans CJK SC"/>
        <family val="2"/>
      </rPr>
      <t xml:space="preserve">不接受链条（</t>
    </r>
    <r>
      <rPr>
        <sz val="9"/>
        <rFont val="微软雅黑"/>
        <family val="0"/>
        <charset val="1"/>
      </rPr>
      <t xml:space="preserve">chain-wheel</t>
    </r>
    <r>
      <rPr>
        <sz val="9"/>
        <rFont val="Noto Sans CJK SC"/>
        <family val="2"/>
      </rPr>
      <t xml:space="preserve">）阀</t>
    </r>
  </si>
  <si>
    <t xml:space="preserve">G</t>
  </si>
  <si>
    <r>
      <rPr>
        <b val="true"/>
        <sz val="10"/>
        <rFont val="Noto Sans CJK SC"/>
        <family val="2"/>
      </rPr>
      <t xml:space="preserve">穿甲板快接法兰（本次供货 </t>
    </r>
    <r>
      <rPr>
        <b val="true"/>
        <sz val="10"/>
        <rFont val="微软雅黑"/>
        <family val="0"/>
        <charset val="1"/>
      </rPr>
      <t xml:space="preserve">40 </t>
    </r>
    <r>
      <rPr>
        <b val="true"/>
        <sz val="10"/>
        <rFont val="Noto Sans CJK SC"/>
        <family val="2"/>
      </rPr>
      <t xml:space="preserve">只）</t>
    </r>
  </si>
  <si>
    <t xml:space="preserve">QCF-DLC</t>
  </si>
  <si>
    <r>
      <rPr>
        <sz val="9"/>
        <rFont val="Noto Sans CJK SC"/>
        <family val="2"/>
      </rPr>
      <t xml:space="preserve">穿甲板快接法兰（</t>
    </r>
    <r>
      <rPr>
        <sz val="9"/>
        <rFont val="微软雅黑"/>
        <family val="0"/>
        <charset val="1"/>
      </rPr>
      <t xml:space="preserve">DLC</t>
    </r>
    <r>
      <rPr>
        <sz val="9"/>
        <rFont val="Noto Sans CJK SC"/>
        <family val="2"/>
      </rPr>
      <t xml:space="preserve">）</t>
    </r>
  </si>
  <si>
    <r>
      <rPr>
        <sz val="9"/>
        <rFont val="微软雅黑"/>
        <family val="0"/>
        <charset val="1"/>
      </rPr>
      <t xml:space="preserve">Ø166.2 × 115</t>
    </r>
    <r>
      <rPr>
        <sz val="9"/>
        <rFont val="Noto Sans CJK SC"/>
        <family val="2"/>
      </rPr>
      <t xml:space="preserve">；法兰面 </t>
    </r>
    <r>
      <rPr>
        <sz val="9"/>
        <rFont val="微软雅黑"/>
        <family val="0"/>
        <charset val="1"/>
      </rPr>
      <t xml:space="preserve">EL.+2938</t>
    </r>
  </si>
  <si>
    <t xml:space="preserve">GA-07</t>
  </si>
  <si>
    <t xml:space="preserve">含密封垫、压紧法兰、紧固件</t>
  </si>
  <si>
    <t xml:space="preserve">QCF-CW</t>
  </si>
  <si>
    <t xml:space="preserve">穿甲板快接法兰（列间空调）</t>
  </si>
  <si>
    <r>
      <rPr>
        <sz val="9"/>
        <rFont val="微软雅黑"/>
        <family val="0"/>
        <charset val="1"/>
      </rPr>
      <t xml:space="preserve">Ø138.4 × 115</t>
    </r>
    <r>
      <rPr>
        <sz val="9"/>
        <rFont val="Noto Sans CJK SC"/>
        <family val="2"/>
      </rPr>
      <t xml:space="preserve">；法兰面 </t>
    </r>
    <r>
      <rPr>
        <sz val="9"/>
        <rFont val="微软雅黑"/>
        <family val="0"/>
        <charset val="1"/>
      </rPr>
      <t xml:space="preserve">EL.+2938</t>
    </r>
  </si>
  <si>
    <t xml:space="preserve">QCF-CDU-P</t>
  </si>
  <si>
    <r>
      <rPr>
        <sz val="9"/>
        <rFont val="Noto Sans CJK SC"/>
        <family val="2"/>
      </rPr>
      <t xml:space="preserve">穿甲板快接法兰（</t>
    </r>
    <r>
      <rPr>
        <sz val="9"/>
        <rFont val="微软雅黑"/>
        <family val="0"/>
        <charset val="1"/>
      </rPr>
      <t xml:space="preserve">CDU </t>
    </r>
    <r>
      <rPr>
        <sz val="9"/>
        <rFont val="Noto Sans CJK SC"/>
        <family val="2"/>
      </rPr>
      <t xml:space="preserve">一次侧）</t>
    </r>
  </si>
  <si>
    <r>
      <rPr>
        <sz val="9"/>
        <rFont val="微软雅黑"/>
        <family val="0"/>
        <charset val="1"/>
      </rPr>
      <t xml:space="preserve">Ø194 × 115</t>
    </r>
    <r>
      <rPr>
        <sz val="9"/>
        <rFont val="Noto Sans CJK SC"/>
        <family val="2"/>
      </rPr>
      <t xml:space="preserve">；法兰面 </t>
    </r>
    <r>
      <rPr>
        <sz val="9"/>
        <rFont val="微软雅黑"/>
        <family val="0"/>
        <charset val="1"/>
      </rPr>
      <t xml:space="preserve">EL.+2938</t>
    </r>
  </si>
  <si>
    <t xml:space="preserve">QCF-CDU-S</t>
  </si>
  <si>
    <r>
      <rPr>
        <sz val="9"/>
        <rFont val="Noto Sans CJK SC"/>
        <family val="2"/>
      </rPr>
      <t xml:space="preserve">穿甲板快接法兰（</t>
    </r>
    <r>
      <rPr>
        <sz val="9"/>
        <rFont val="微软雅黑"/>
        <family val="0"/>
        <charset val="1"/>
      </rPr>
      <t xml:space="preserve">CDU </t>
    </r>
    <r>
      <rPr>
        <sz val="9"/>
        <rFont val="Noto Sans CJK SC"/>
        <family val="2"/>
      </rPr>
      <t xml:space="preserve">二次侧）</t>
    </r>
  </si>
  <si>
    <r>
      <rPr>
        <sz val="9"/>
        <rFont val="微软雅黑"/>
        <family val="0"/>
        <charset val="1"/>
      </rPr>
      <t xml:space="preserve">Ø194 × 120</t>
    </r>
    <r>
      <rPr>
        <sz val="9"/>
        <rFont val="Noto Sans CJK SC"/>
        <family val="2"/>
      </rPr>
      <t xml:space="preserve">；法兰面 </t>
    </r>
    <r>
      <rPr>
        <sz val="9"/>
        <rFont val="微软雅黑"/>
        <family val="0"/>
        <charset val="1"/>
      </rPr>
      <t xml:space="preserve">EL.+2938</t>
    </r>
  </si>
  <si>
    <t xml:space="preserve">QCF-FIRE</t>
  </si>
  <si>
    <t xml:space="preserve">消防穿甲板法兰</t>
  </si>
  <si>
    <t xml:space="preserve">Ø146 × 115</t>
  </si>
  <si>
    <r>
      <rPr>
        <sz val="9"/>
        <rFont val="微软雅黑"/>
        <family val="0"/>
        <charset val="1"/>
      </rPr>
      <t xml:space="preserve">2 </t>
    </r>
    <r>
      <rPr>
        <sz val="9"/>
        <rFont val="Noto Sans CJK SC"/>
        <family val="2"/>
      </rPr>
      <t xml:space="preserve">只 </t>
    </r>
    <r>
      <rPr>
        <sz val="9"/>
        <rFont val="微软雅黑"/>
        <family val="0"/>
        <charset val="1"/>
      </rPr>
      <t xml:space="preserve">by others</t>
    </r>
    <r>
      <rPr>
        <sz val="9"/>
        <rFont val="Noto Sans CJK SC"/>
        <family val="2"/>
      </rPr>
      <t xml:space="preserve">，不在本次供货</t>
    </r>
  </si>
  <si>
    <t xml:space="preserve">H</t>
  </si>
  <si>
    <r>
      <rPr>
        <b val="true"/>
        <sz val="10"/>
        <rFont val="Noto Sans CJK SC"/>
        <family val="2"/>
      </rPr>
      <t xml:space="preserve">阀门标识（合计 </t>
    </r>
    <r>
      <rPr>
        <b val="true"/>
        <sz val="10"/>
        <rFont val="微软雅黑"/>
        <family val="0"/>
        <charset val="1"/>
      </rPr>
      <t xml:space="preserve">41 </t>
    </r>
    <r>
      <rPr>
        <b val="true"/>
        <sz val="10"/>
        <rFont val="Noto Sans CJK SC"/>
        <family val="2"/>
      </rPr>
      <t xml:space="preserve">件）</t>
    </r>
  </si>
  <si>
    <t xml:space="preserve">TAG-PL</t>
  </si>
  <si>
    <t xml:space="preserve">阀门标牌</t>
  </si>
  <si>
    <r>
      <rPr>
        <sz val="9"/>
        <rFont val="微软雅黑"/>
        <family val="0"/>
        <charset val="1"/>
      </rPr>
      <t xml:space="preserve">170 × 110 × δ1.5</t>
    </r>
    <r>
      <rPr>
        <sz val="9"/>
        <rFont val="Noto Sans CJK SC"/>
        <family val="2"/>
      </rPr>
      <t xml:space="preserve">～</t>
    </r>
    <r>
      <rPr>
        <sz val="9"/>
        <rFont val="微软雅黑"/>
        <family val="0"/>
        <charset val="1"/>
      </rPr>
      <t xml:space="preserve">2.0</t>
    </r>
    <r>
      <rPr>
        <sz val="9"/>
        <rFont val="Noto Sans CJK SC"/>
        <family val="2"/>
      </rPr>
      <t xml:space="preserve">；激光打标或蚀刻</t>
    </r>
  </si>
  <si>
    <r>
      <rPr>
        <sz val="9"/>
        <rFont val="微软雅黑"/>
        <family val="0"/>
        <charset val="1"/>
      </rPr>
      <t xml:space="preserve">SS304 </t>
    </r>
    <r>
      <rPr>
        <sz val="9"/>
        <rFont val="Noto Sans CJK SC"/>
        <family val="2"/>
      </rPr>
      <t xml:space="preserve">板；或阳极氧化铝板（报审）</t>
    </r>
  </si>
  <si>
    <t xml:space="preserve">块</t>
  </si>
  <si>
    <t xml:space="preserve">挂装于标牌梁</t>
  </si>
  <si>
    <t xml:space="preserve">TAG-BM</t>
  </si>
  <si>
    <t xml:space="preserve">阀门标牌梁</t>
  </si>
  <si>
    <r>
      <rPr>
        <sz val="9"/>
        <rFont val="微软雅黑"/>
        <family val="0"/>
        <charset val="1"/>
      </rPr>
      <t xml:space="preserve">120 × 120 </t>
    </r>
    <r>
      <rPr>
        <sz val="9"/>
        <rFont val="Noto Sans CJK SC"/>
        <family val="2"/>
      </rPr>
      <t xml:space="preserve">方管，长 </t>
    </r>
    <r>
      <rPr>
        <sz val="9"/>
        <rFont val="微软雅黑"/>
        <family val="0"/>
        <charset val="1"/>
      </rPr>
      <t xml:space="preserve">13416</t>
    </r>
    <r>
      <rPr>
        <sz val="9"/>
        <rFont val="Noto Sans CJK SC"/>
        <family val="2"/>
      </rPr>
      <t xml:space="preserve">；</t>
    </r>
    <r>
      <rPr>
        <sz val="9"/>
        <rFont val="微软雅黑"/>
        <family val="0"/>
        <charset val="1"/>
      </rPr>
      <t xml:space="preserve">EL.+3300…+3420</t>
    </r>
  </si>
  <si>
    <r>
      <rPr>
        <sz val="9"/>
        <rFont val="微软雅黑"/>
        <family val="0"/>
        <charset val="1"/>
      </rPr>
      <t xml:space="preserve">SS304 </t>
    </r>
    <r>
      <rPr>
        <sz val="9"/>
        <rFont val="Noto Sans CJK SC"/>
        <family val="2"/>
      </rPr>
      <t xml:space="preserve">或 </t>
    </r>
    <r>
      <rPr>
        <sz val="9"/>
        <rFont val="微软雅黑"/>
        <family val="0"/>
        <charset val="1"/>
      </rPr>
      <t xml:space="preserve">Q235B </t>
    </r>
    <r>
      <rPr>
        <sz val="9"/>
        <rFont val="Noto Sans CJK SC"/>
        <family val="2"/>
      </rPr>
      <t xml:space="preserve">热浸镀锌（报审）</t>
    </r>
  </si>
  <si>
    <t xml:space="preserve">根</t>
  </si>
  <si>
    <t xml:space="preserve">随系统一体预制</t>
  </si>
  <si>
    <t xml:space="preserve">I</t>
  </si>
  <si>
    <r>
      <rPr>
        <b val="true"/>
        <sz val="10"/>
        <rFont val="Noto Sans CJK SC"/>
        <family val="2"/>
      </rPr>
      <t xml:space="preserve">支吊架（合计 </t>
    </r>
    <r>
      <rPr>
        <b val="true"/>
        <sz val="10"/>
        <rFont val="微软雅黑"/>
        <family val="0"/>
        <charset val="1"/>
      </rPr>
      <t xml:space="preserve">24 </t>
    </r>
    <r>
      <rPr>
        <b val="true"/>
        <sz val="10"/>
        <rFont val="Noto Sans CJK SC"/>
        <family val="2"/>
      </rPr>
      <t xml:space="preserve">付）</t>
    </r>
  </si>
  <si>
    <t xml:space="preserve">HGR-PRI</t>
  </si>
  <si>
    <t xml:space="preserve">一次侧吊架</t>
  </si>
  <si>
    <r>
      <rPr>
        <sz val="9"/>
        <rFont val="微软雅黑"/>
        <family val="0"/>
        <charset val="1"/>
      </rPr>
      <t xml:space="preserve">M16 </t>
    </r>
    <r>
      <rPr>
        <sz val="9"/>
        <rFont val="Noto Sans CJK SC"/>
        <family val="2"/>
      </rPr>
      <t xml:space="preserve">吊杆 </t>
    </r>
    <r>
      <rPr>
        <sz val="9"/>
        <rFont val="微软雅黑"/>
        <family val="0"/>
        <charset val="1"/>
      </rPr>
      <t xml:space="preserve">Ø18</t>
    </r>
    <r>
      <rPr>
        <sz val="9"/>
        <rFont val="Noto Sans CJK SC"/>
        <family val="2"/>
      </rPr>
      <t xml:space="preserve">（有效长≈</t>
    </r>
    <r>
      <rPr>
        <sz val="9"/>
        <rFont val="微软雅黑"/>
        <family val="0"/>
        <charset val="1"/>
      </rPr>
      <t xml:space="preserve">498</t>
    </r>
    <r>
      <rPr>
        <sz val="9"/>
        <rFont val="Noto Sans CJK SC"/>
        <family val="2"/>
      </rPr>
      <t xml:space="preserve">）</t>
    </r>
    <r>
      <rPr>
        <sz val="9"/>
        <rFont val="微软雅黑"/>
        <family val="0"/>
        <charset val="1"/>
      </rPr>
      <t xml:space="preserve">+ Ø215 </t>
    </r>
    <r>
      <rPr>
        <sz val="9"/>
        <rFont val="Noto Sans CJK SC"/>
        <family val="2"/>
      </rPr>
      <t xml:space="preserve">管夹（宽</t>
    </r>
    <r>
      <rPr>
        <sz val="9"/>
        <rFont val="微软雅黑"/>
        <family val="0"/>
        <charset val="1"/>
      </rPr>
      <t xml:space="preserve">45</t>
    </r>
    <r>
      <rPr>
        <sz val="9"/>
        <rFont val="Noto Sans CJK SC"/>
        <family val="2"/>
      </rPr>
      <t xml:space="preserve">）</t>
    </r>
    <r>
      <rPr>
        <sz val="9"/>
        <rFont val="微软雅黑"/>
        <family val="0"/>
        <charset val="1"/>
      </rPr>
      <t xml:space="preserve">+ </t>
    </r>
    <r>
      <rPr>
        <sz val="9"/>
        <rFont val="Noto Sans CJK SC"/>
        <family val="2"/>
      </rPr>
      <t xml:space="preserve">吊耳 </t>
    </r>
    <r>
      <rPr>
        <sz val="9"/>
        <rFont val="微软雅黑"/>
        <family val="0"/>
        <charset val="1"/>
      </rPr>
      <t xml:space="preserve">46×82×50 + </t>
    </r>
    <r>
      <rPr>
        <sz val="9"/>
        <rFont val="Noto Sans CJK SC"/>
        <family val="2"/>
      </rPr>
      <t xml:space="preserve">螺母</t>
    </r>
  </si>
  <si>
    <r>
      <rPr>
        <sz val="9"/>
        <rFont val="Noto Sans CJK SC"/>
        <family val="2"/>
      </rPr>
      <t xml:space="preserve">接触部位 </t>
    </r>
    <r>
      <rPr>
        <sz val="9"/>
        <rFont val="微软雅黑"/>
        <family val="0"/>
        <charset val="1"/>
      </rPr>
      <t xml:space="preserve">SS304/SS316L </t>
    </r>
    <r>
      <rPr>
        <sz val="9"/>
        <rFont val="Noto Sans CJK SC"/>
        <family val="2"/>
      </rPr>
      <t xml:space="preserve">或镀锌</t>
    </r>
    <r>
      <rPr>
        <sz val="9"/>
        <rFont val="微软雅黑"/>
        <family val="0"/>
        <charset val="1"/>
      </rPr>
      <t xml:space="preserve">+</t>
    </r>
    <r>
      <rPr>
        <sz val="9"/>
        <rFont val="Noto Sans CJK SC"/>
        <family val="2"/>
      </rPr>
      <t xml:space="preserve">隔离衬垫；紧固件 </t>
    </r>
    <r>
      <rPr>
        <sz val="9"/>
        <rFont val="微软雅黑"/>
        <family val="0"/>
        <charset val="1"/>
      </rPr>
      <t xml:space="preserve">A2-70/A4-70</t>
    </r>
  </si>
  <si>
    <t xml:space="preserve">付</t>
  </si>
  <si>
    <t xml:space="preserve">GA-06</t>
  </si>
  <si>
    <r>
      <rPr>
        <sz val="9"/>
        <rFont val="Noto Sans CJK SC"/>
        <family val="2"/>
      </rPr>
      <t xml:space="preserve">生根舱顶 </t>
    </r>
    <r>
      <rPr>
        <sz val="9"/>
        <rFont val="微软雅黑"/>
        <family val="0"/>
        <charset val="1"/>
      </rPr>
      <t xml:space="preserve">EL.+4216</t>
    </r>
    <r>
      <rPr>
        <sz val="9"/>
        <rFont val="Noto Sans CJK SC"/>
        <family val="2"/>
      </rPr>
      <t xml:space="preserve">，跨距 </t>
    </r>
    <r>
      <rPr>
        <sz val="9"/>
        <rFont val="微软雅黑"/>
        <family val="0"/>
        <charset val="1"/>
      </rPr>
      <t xml:space="preserve">2810</t>
    </r>
  </si>
  <si>
    <t xml:space="preserve">STD-HT</t>
  </si>
  <si>
    <r>
      <rPr>
        <sz val="9"/>
        <rFont val="微软雅黑"/>
        <family val="0"/>
        <charset val="1"/>
      </rPr>
      <t xml:space="preserve">HT </t>
    </r>
    <r>
      <rPr>
        <sz val="9"/>
        <rFont val="Noto Sans CJK SC"/>
        <family val="2"/>
      </rPr>
      <t xml:space="preserve">落地支架</t>
    </r>
  </si>
  <si>
    <r>
      <rPr>
        <sz val="9"/>
        <rFont val="Noto Sans CJK SC"/>
        <family val="2"/>
      </rPr>
      <t xml:space="preserve">立柱 </t>
    </r>
    <r>
      <rPr>
        <sz val="9"/>
        <rFont val="微软雅黑"/>
        <family val="0"/>
        <charset val="1"/>
      </rPr>
      <t xml:space="preserve">60×60×396 + </t>
    </r>
    <r>
      <rPr>
        <sz val="9"/>
        <rFont val="Noto Sans CJK SC"/>
        <family val="2"/>
      </rPr>
      <t xml:space="preserve">底板 </t>
    </r>
    <r>
      <rPr>
        <sz val="9"/>
        <rFont val="微软雅黑"/>
        <family val="0"/>
        <charset val="1"/>
      </rPr>
      <t xml:space="preserve">120×120×10 + </t>
    </r>
    <r>
      <rPr>
        <sz val="9"/>
        <rFont val="Noto Sans CJK SC"/>
        <family val="2"/>
      </rPr>
      <t xml:space="preserve">双臂 </t>
    </r>
    <r>
      <rPr>
        <sz val="9"/>
        <rFont val="微软雅黑"/>
        <family val="0"/>
        <charset val="1"/>
      </rPr>
      <t xml:space="preserve">60×30</t>
    </r>
    <r>
      <rPr>
        <sz val="9"/>
        <rFont val="Noto Sans CJK SC"/>
        <family val="2"/>
      </rPr>
      <t xml:space="preserve">，托 </t>
    </r>
    <r>
      <rPr>
        <sz val="9"/>
        <rFont val="微软雅黑"/>
        <family val="0"/>
        <charset val="1"/>
      </rPr>
      <t xml:space="preserve">OD134</t>
    </r>
  </si>
  <si>
    <r>
      <rPr>
        <sz val="9"/>
        <rFont val="Noto Sans CJK SC"/>
        <family val="2"/>
      </rPr>
      <t xml:space="preserve">生根甲板面 </t>
    </r>
    <r>
      <rPr>
        <sz val="9"/>
        <rFont val="微软雅黑"/>
        <family val="0"/>
        <charset val="1"/>
      </rPr>
      <t xml:space="preserve">EL.+2938</t>
    </r>
  </si>
  <si>
    <t xml:space="preserve">STD-LT</t>
  </si>
  <si>
    <r>
      <rPr>
        <sz val="9"/>
        <rFont val="微软雅黑"/>
        <family val="0"/>
        <charset val="1"/>
      </rPr>
      <t xml:space="preserve">LT </t>
    </r>
    <r>
      <rPr>
        <sz val="9"/>
        <rFont val="Noto Sans CJK SC"/>
        <family val="2"/>
      </rPr>
      <t xml:space="preserve">落地支架</t>
    </r>
  </si>
  <si>
    <r>
      <rPr>
        <sz val="9"/>
        <rFont val="Noto Sans CJK SC"/>
        <family val="2"/>
      </rPr>
      <t xml:space="preserve">立柱 </t>
    </r>
    <r>
      <rPr>
        <sz val="9"/>
        <rFont val="微软雅黑"/>
        <family val="0"/>
        <charset val="1"/>
      </rPr>
      <t xml:space="preserve">60×60×451 + </t>
    </r>
    <r>
      <rPr>
        <sz val="9"/>
        <rFont val="Noto Sans CJK SC"/>
        <family val="2"/>
      </rPr>
      <t xml:space="preserve">底板 </t>
    </r>
    <r>
      <rPr>
        <sz val="9"/>
        <rFont val="微软雅黑"/>
        <family val="0"/>
        <charset val="1"/>
      </rPr>
      <t xml:space="preserve">120×120×10 + </t>
    </r>
    <r>
      <rPr>
        <sz val="9"/>
        <rFont val="Noto Sans CJK SC"/>
        <family val="2"/>
      </rPr>
      <t xml:space="preserve">双臂 </t>
    </r>
    <r>
      <rPr>
        <sz val="9"/>
        <rFont val="微软雅黑"/>
        <family val="0"/>
        <charset val="1"/>
      </rPr>
      <t xml:space="preserve">60×30</t>
    </r>
  </si>
  <si>
    <r>
      <rPr>
        <sz val="9"/>
        <rFont val="Noto Sans CJK SC"/>
        <family val="2"/>
      </rPr>
      <t xml:space="preserve">生根甲板面 </t>
    </r>
    <r>
      <rPr>
        <sz val="9"/>
        <rFont val="微软雅黑"/>
        <family val="0"/>
        <charset val="1"/>
      </rPr>
      <t xml:space="preserve">EL.+2945</t>
    </r>
  </si>
  <si>
    <t xml:space="preserve">J</t>
  </si>
  <si>
    <t xml:space="preserve">附件、试验、包装与服务</t>
  </si>
  <si>
    <t xml:space="preserve">ACC-1</t>
  </si>
  <si>
    <t xml:space="preserve">密封件、紧固件、防松件</t>
  </si>
  <si>
    <t xml:space="preserve">成套；材质与冷却介质相容并注明牌号</t>
  </si>
  <si>
    <t xml:space="preserve">ACC-2</t>
  </si>
  <si>
    <t xml:space="preserve">绝热</t>
  </si>
  <si>
    <t xml:space="preserve">材质、厚度、外护与防凝露计算由厂家提出</t>
  </si>
  <si>
    <r>
      <rPr>
        <sz val="9"/>
        <rFont val="Noto Sans CJK SC"/>
        <family val="2"/>
      </rPr>
      <t xml:space="preserve">【含 </t>
    </r>
    <r>
      <rPr>
        <sz val="9"/>
        <rFont val="微软雅黑"/>
        <family val="0"/>
        <charset val="1"/>
      </rPr>
      <t xml:space="preserve">/ </t>
    </r>
    <r>
      <rPr>
        <sz val="9"/>
        <rFont val="Noto Sans CJK SC"/>
        <family val="2"/>
      </rPr>
      <t xml:space="preserve">不含 两案单独报价】</t>
    </r>
  </si>
  <si>
    <t xml:space="preserve">ACC-3</t>
  </si>
  <si>
    <t xml:space="preserve">色标与管道标识</t>
  </si>
  <si>
    <r>
      <rPr>
        <sz val="9"/>
        <rFont val="Noto Sans CJK SC"/>
        <family val="2"/>
      </rPr>
      <t xml:space="preserve">按供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回、高温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低温、一次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二次分色；报审后执行</t>
    </r>
  </si>
  <si>
    <t xml:space="preserve">TST-1</t>
  </si>
  <si>
    <t xml:space="preserve">出厂试验</t>
  </si>
  <si>
    <r>
      <rPr>
        <sz val="9"/>
        <rFont val="Noto Sans CJK SC"/>
        <family val="2"/>
      </rPr>
      <t xml:space="preserve">水压 </t>
    </r>
    <r>
      <rPr>
        <sz val="9"/>
        <rFont val="微软雅黑"/>
        <family val="0"/>
        <charset val="1"/>
      </rPr>
      <t xml:space="preserve">1.5×</t>
    </r>
    <r>
      <rPr>
        <sz val="9"/>
        <rFont val="Noto Sans CJK SC"/>
        <family val="2"/>
      </rPr>
      <t xml:space="preserve">设计压力保压 </t>
    </r>
    <r>
      <rPr>
        <sz val="9"/>
        <rFont val="微软雅黑"/>
        <family val="0"/>
        <charset val="1"/>
      </rPr>
      <t xml:space="preserve">30 min</t>
    </r>
    <r>
      <rPr>
        <sz val="9"/>
        <rFont val="Noto Sans CJK SC"/>
        <family val="2"/>
      </rPr>
      <t xml:space="preserve">；气密；焊接 </t>
    </r>
    <r>
      <rPr>
        <sz val="9"/>
        <rFont val="微软雅黑"/>
        <family val="0"/>
        <charset val="1"/>
      </rPr>
      <t xml:space="preserve">100% </t>
    </r>
    <r>
      <rPr>
        <sz val="9"/>
        <rFont val="Noto Sans CJK SC"/>
        <family val="2"/>
      </rPr>
      <t xml:space="preserve">目视 </t>
    </r>
    <r>
      <rPr>
        <sz val="9"/>
        <rFont val="微软雅黑"/>
        <family val="0"/>
        <charset val="1"/>
      </rPr>
      <t xml:space="preserve">+ 10% </t>
    </r>
    <r>
      <rPr>
        <sz val="9"/>
        <rFont val="Noto Sans CJK SC"/>
        <family val="2"/>
      </rPr>
      <t xml:space="preserve">无损</t>
    </r>
  </si>
  <si>
    <t xml:space="preserve">逐回路出具报告</t>
  </si>
  <si>
    <t xml:space="preserve">TST-2</t>
  </si>
  <si>
    <t xml:space="preserve">二次侧清洗与封存</t>
  </si>
  <si>
    <r>
      <rPr>
        <sz val="9"/>
        <rFont val="Noto Sans CJK SC"/>
        <family val="2"/>
      </rPr>
      <t xml:space="preserve">冲洗吹扫至 </t>
    </r>
    <r>
      <rPr>
        <sz val="9"/>
        <rFont val="微软雅黑"/>
        <family val="0"/>
        <charset val="1"/>
      </rPr>
      <t xml:space="preserve">ISO 4406 −/18/15 </t>
    </r>
    <r>
      <rPr>
        <sz val="9"/>
        <rFont val="Noto Sans CJK SC"/>
        <family val="2"/>
      </rPr>
      <t xml:space="preserve">或等效；双端封堵、充氮或封盖</t>
    </r>
  </si>
  <si>
    <t xml:space="preserve">说明工艺与检测手段</t>
  </si>
  <si>
    <t xml:space="preserve">TST-3</t>
  </si>
  <si>
    <t xml:space="preserve">预装配试验</t>
  </si>
  <si>
    <r>
      <rPr>
        <sz val="9"/>
        <rFont val="微软雅黑"/>
        <family val="0"/>
        <charset val="1"/>
      </rPr>
      <t xml:space="preserve">40 </t>
    </r>
    <r>
      <rPr>
        <sz val="9"/>
        <rFont val="Noto Sans CJK SC"/>
        <family val="2"/>
      </rPr>
      <t xml:space="preserve">只穿甲板法兰与 </t>
    </r>
    <r>
      <rPr>
        <sz val="9"/>
        <rFont val="微软雅黑"/>
        <family val="0"/>
        <charset val="1"/>
      </rPr>
      <t xml:space="preserve">MDCX </t>
    </r>
    <r>
      <rPr>
        <sz val="9"/>
        <rFont val="Noto Sans CJK SC"/>
        <family val="2"/>
      </rPr>
      <t xml:space="preserve">对接样件试插，一次对中率 </t>
    </r>
    <r>
      <rPr>
        <sz val="9"/>
        <rFont val="微软雅黑"/>
        <family val="0"/>
        <charset val="1"/>
      </rPr>
      <t xml:space="preserve">100%</t>
    </r>
  </si>
  <si>
    <t xml:space="preserve">PKG-1</t>
  </si>
  <si>
    <t xml:space="preserve">整体发货包装与运输</t>
  </si>
  <si>
    <r>
      <rPr>
        <sz val="9"/>
        <rFont val="Noto Sans CJK SC"/>
        <family val="2"/>
      </rPr>
      <t xml:space="preserve">运输工况固定与减振设计 </t>
    </r>
    <r>
      <rPr>
        <sz val="9"/>
        <rFont val="微软雅黑"/>
        <family val="0"/>
        <charset val="1"/>
      </rPr>
      <t xml:space="preserve">+ </t>
    </r>
    <r>
      <rPr>
        <sz val="9"/>
        <rFont val="Noto Sans CJK SC"/>
        <family val="2"/>
      </rPr>
      <t xml:space="preserve">校核报告；管口封堵；装箱单与吊装标识</t>
    </r>
  </si>
  <si>
    <r>
      <rPr>
        <sz val="9"/>
        <rFont val="Noto Sans CJK SC"/>
        <family val="2"/>
      </rPr>
      <t xml:space="preserve">至浙江嘉兴海盐 世赫 </t>
    </r>
    <r>
      <rPr>
        <sz val="9"/>
        <rFont val="微软雅黑"/>
        <family val="0"/>
        <charset val="1"/>
      </rPr>
      <t xml:space="preserve">3# </t>
    </r>
    <r>
      <rPr>
        <sz val="9"/>
        <rFont val="Noto Sans CJK SC"/>
        <family val="2"/>
      </rPr>
      <t xml:space="preserve">厂房</t>
    </r>
  </si>
  <si>
    <t xml:space="preserve">SVC-1</t>
  </si>
  <si>
    <t xml:space="preserve">现场配合安装与测试服务</t>
  </si>
  <si>
    <t xml:space="preserve">派驻技术人员至海盐厂房，配合安装、对接、试压、冲洗、调试与联合验收</t>
  </si>
  <si>
    <t xml:space="preserve">人天</t>
  </si>
  <si>
    <r>
      <rPr>
        <sz val="9"/>
        <rFont val="Noto Sans CJK SC"/>
        <family val="2"/>
      </rPr>
      <t xml:space="preserve">【人天数由贵司填报】响应时间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是否含差旅须注明</t>
    </r>
  </si>
  <si>
    <t xml:space="preserve">SPR-1</t>
  </si>
  <si>
    <t xml:space="preserve">随机备件与专用工具</t>
  </si>
  <si>
    <t xml:space="preserve">建议清单由厂家提出</t>
  </si>
  <si>
    <t xml:space="preserve">合计（元，含税）</t>
  </si>
  <si>
    <t xml:space="preserve">示例行（格式示意，请勿计入报价）：</t>
  </si>
  <si>
    <t xml:space="preserve">例</t>
  </si>
  <si>
    <r>
      <rPr>
        <i val="true"/>
        <sz val="9"/>
        <color rgb="FF808080"/>
        <rFont val="Noto Sans CJK SC"/>
        <family val="2"/>
      </rPr>
      <t xml:space="preserve">支管隔离阀 </t>
    </r>
    <r>
      <rPr>
        <i val="true"/>
        <sz val="9"/>
        <color rgb="FF808080"/>
        <rFont val="微软雅黑"/>
        <family val="0"/>
        <charset val="1"/>
      </rPr>
      <t xml:space="preserve">DN65</t>
    </r>
  </si>
  <si>
    <r>
      <rPr>
        <i val="true"/>
        <sz val="9"/>
        <color rgb="FF808080"/>
        <rFont val="Noto Sans CJK SC"/>
        <family val="2"/>
      </rPr>
      <t xml:space="preserve">阀体包络 </t>
    </r>
    <r>
      <rPr>
        <i val="true"/>
        <sz val="9"/>
        <color rgb="FF808080"/>
        <rFont val="微软雅黑"/>
        <family val="0"/>
        <charset val="1"/>
      </rPr>
      <t xml:space="preserve">129.2×129.2×130</t>
    </r>
  </si>
  <si>
    <r>
      <rPr>
        <i val="true"/>
        <sz val="9"/>
        <color rgb="FF808080"/>
        <rFont val="微软雅黑"/>
        <family val="0"/>
        <charset val="1"/>
      </rPr>
      <t xml:space="preserve">SS316L</t>
    </r>
    <r>
      <rPr>
        <i val="true"/>
        <sz val="9"/>
        <color rgb="FF808080"/>
        <rFont val="Noto Sans CJK SC"/>
        <family val="2"/>
      </rPr>
      <t xml:space="preserve">（</t>
    </r>
    <r>
      <rPr>
        <i val="true"/>
        <sz val="9"/>
        <color rgb="FF808080"/>
        <rFont val="微软雅黑"/>
        <family val="0"/>
        <charset val="1"/>
      </rPr>
      <t xml:space="preserve">CF3M</t>
    </r>
    <r>
      <rPr>
        <i val="true"/>
        <sz val="9"/>
        <color rgb="FF808080"/>
        <rFont val="Noto Sans CJK SC"/>
        <family val="2"/>
      </rPr>
      <t xml:space="preserve">）</t>
    </r>
  </si>
  <si>
    <r>
      <rPr>
        <i val="true"/>
        <sz val="9"/>
        <color rgb="FF808080"/>
        <rFont val="微软雅黑"/>
        <family val="0"/>
        <charset val="1"/>
      </rPr>
      <t xml:space="preserve">δ3.0</t>
    </r>
    <r>
      <rPr>
        <i val="true"/>
        <sz val="9"/>
        <color rgb="FF808080"/>
        <rFont val="Noto Sans CJK SC"/>
        <family val="2"/>
      </rPr>
      <t xml:space="preserve">；</t>
    </r>
    <r>
      <rPr>
        <i val="true"/>
        <sz val="9"/>
        <color rgb="FF808080"/>
        <rFont val="微软雅黑"/>
        <family val="0"/>
        <charset val="1"/>
      </rPr>
      <t xml:space="preserve">SS316L</t>
    </r>
    <r>
      <rPr>
        <i val="true"/>
        <sz val="9"/>
        <color rgb="FF808080"/>
        <rFont val="Noto Sans CJK SC"/>
        <family val="2"/>
      </rPr>
      <t xml:space="preserve">；</t>
    </r>
    <r>
      <rPr>
        <i val="true"/>
        <sz val="9"/>
        <color rgb="FF808080"/>
        <rFont val="微软雅黑"/>
        <family val="0"/>
        <charset val="1"/>
      </rPr>
      <t xml:space="preserve">PN16</t>
    </r>
    <r>
      <rPr>
        <i val="true"/>
        <sz val="9"/>
        <color rgb="FF808080"/>
        <rFont val="Noto Sans CJK SC"/>
        <family val="2"/>
      </rPr>
      <t xml:space="preserve">；对夹式；</t>
    </r>
    <r>
      <rPr>
        <i val="true"/>
        <sz val="9"/>
        <color rgb="FF808080"/>
        <rFont val="微软雅黑"/>
        <family val="0"/>
        <charset val="1"/>
      </rPr>
      <t xml:space="preserve">XX </t>
    </r>
    <r>
      <rPr>
        <i val="true"/>
        <sz val="9"/>
        <color rgb="FF808080"/>
        <rFont val="Noto Sans CJK SC"/>
        <family val="2"/>
      </rPr>
      <t xml:space="preserve">牌 </t>
    </r>
    <r>
      <rPr>
        <i val="true"/>
        <sz val="9"/>
        <color rgb="FF808080"/>
        <rFont val="微软雅黑"/>
        <family val="0"/>
        <charset val="1"/>
      </rPr>
      <t xml:space="preserve">XXX </t>
    </r>
    <r>
      <rPr>
        <i val="true"/>
        <sz val="9"/>
        <color rgb="FF808080"/>
        <rFont val="Noto Sans CJK SC"/>
        <family val="2"/>
      </rPr>
      <t xml:space="preserve">型</t>
    </r>
  </si>
  <si>
    <r>
      <rPr>
        <i val="true"/>
        <sz val="9"/>
        <color rgb="FF808080"/>
        <rFont val="Noto Sans CJK SC"/>
        <family val="2"/>
      </rPr>
      <t xml:space="preserve">交期 </t>
    </r>
    <r>
      <rPr>
        <i val="true"/>
        <sz val="9"/>
        <color rgb="FF808080"/>
        <rFont val="微软雅黑"/>
        <family val="0"/>
        <charset val="1"/>
      </rPr>
      <t xml:space="preserve">45 </t>
    </r>
    <r>
      <rPr>
        <i val="true"/>
        <sz val="9"/>
        <color rgb="FF808080"/>
        <rFont val="Noto Sans CJK SC"/>
        <family val="2"/>
      </rPr>
      <t xml:space="preserve">天</t>
    </r>
  </si>
  <si>
    <r>
      <rPr>
        <b val="true"/>
        <sz val="14"/>
        <rFont val="微软雅黑"/>
        <family val="0"/>
        <charset val="1"/>
      </rPr>
      <t xml:space="preserve">RFI-PIP-001 Rev.1</t>
    </r>
    <r>
      <rPr>
        <b val="true"/>
        <sz val="14"/>
        <rFont val="Noto Sans CJK SC"/>
        <family val="2"/>
      </rPr>
      <t xml:space="preserve">　随附图纸与文件清单</t>
    </r>
  </si>
  <si>
    <r>
      <rPr>
        <sz val="10"/>
        <color rgb="FFC00000"/>
        <rFont val="Noto Sans CJK SC"/>
        <family val="2"/>
      </rPr>
      <t xml:space="preserve">本清单所列文件与 </t>
    </r>
    <r>
      <rPr>
        <sz val="10"/>
        <color rgb="FFC00000"/>
        <rFont val="微软雅黑"/>
        <family val="0"/>
        <charset val="1"/>
      </rPr>
      <t xml:space="preserve">RFI-PIP-001 Rev.1 </t>
    </r>
    <r>
      <rPr>
        <sz val="10"/>
        <color rgb="FFC00000"/>
        <rFont val="Noto Sans CJK SC"/>
        <family val="2"/>
      </rPr>
      <t xml:space="preserve">同批提交；几何以 </t>
    </r>
    <r>
      <rPr>
        <sz val="10"/>
        <color rgb="FFC00000"/>
        <rFont val="微软雅黑"/>
        <family val="0"/>
        <charset val="1"/>
      </rPr>
      <t xml:space="preserve">STEP </t>
    </r>
    <r>
      <rPr>
        <sz val="10"/>
        <color rgb="FFC00000"/>
        <rFont val="Noto Sans CJK SC"/>
        <family val="2"/>
      </rPr>
      <t xml:space="preserve">文件为最终判据。</t>
    </r>
  </si>
  <si>
    <r>
      <rPr>
        <b val="true"/>
        <sz val="10"/>
        <color rgb="FFFFFFFF"/>
        <rFont val="Noto Sans CJK SC"/>
        <family val="2"/>
      </rPr>
      <t xml:space="preserve">文件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图号</t>
    </r>
  </si>
  <si>
    <r>
      <rPr>
        <b val="true"/>
        <sz val="10"/>
        <color rgb="FFFFFFFF"/>
        <rFont val="Noto Sans CJK SC"/>
        <family val="2"/>
      </rPr>
      <t xml:space="preserve">格式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比例</t>
    </r>
  </si>
  <si>
    <t xml:space="preserve">说明</t>
  </si>
  <si>
    <r>
      <rPr>
        <b val="true"/>
        <sz val="10"/>
        <rFont val="Noto Sans CJK SC"/>
        <family val="2"/>
      </rPr>
      <t xml:space="preserve">一、图纸（</t>
    </r>
    <r>
      <rPr>
        <b val="true"/>
        <sz val="10"/>
        <rFont val="微软雅黑"/>
        <family val="0"/>
        <charset val="1"/>
      </rPr>
      <t xml:space="preserve">Rev.1</t>
    </r>
    <r>
      <rPr>
        <b val="true"/>
        <sz val="10"/>
        <rFont val="Noto Sans CJK SC"/>
        <family val="2"/>
      </rPr>
      <t xml:space="preserve">，共 </t>
    </r>
    <r>
      <rPr>
        <b val="true"/>
        <sz val="10"/>
        <rFont val="微软雅黑"/>
        <family val="0"/>
        <charset val="1"/>
      </rPr>
      <t xml:space="preserve">8 </t>
    </r>
    <r>
      <rPr>
        <b val="true"/>
        <sz val="10"/>
        <rFont val="Noto Sans CJK SC"/>
        <family val="2"/>
      </rPr>
      <t xml:space="preserve">张 </t>
    </r>
    <r>
      <rPr>
        <b val="true"/>
        <sz val="10"/>
        <rFont val="微软雅黑"/>
        <family val="0"/>
        <charset val="1"/>
      </rPr>
      <t xml:space="preserve">A1</t>
    </r>
    <r>
      <rPr>
        <b val="true"/>
        <sz val="10"/>
        <rFont val="Noto Sans CJK SC"/>
        <family val="2"/>
      </rPr>
      <t xml:space="preserve">）</t>
    </r>
  </si>
  <si>
    <t xml:space="preserve">MDCX-TA-PIP-GA-01</t>
  </si>
  <si>
    <r>
      <rPr>
        <sz val="9"/>
        <rFont val="Noto Sans CJK SC"/>
        <family val="2"/>
      </rPr>
      <t xml:space="preserve">管路舱 平面图 </t>
    </r>
    <r>
      <rPr>
        <sz val="9"/>
        <rFont val="微软雅黑"/>
        <family val="0"/>
        <charset val="1"/>
      </rPr>
      <t xml:space="preserve">/ </t>
    </r>
    <r>
      <rPr>
        <sz val="9"/>
        <rFont val="Noto Sans CJK SC"/>
        <family val="2"/>
      </rPr>
      <t xml:space="preserve">立面图 </t>
    </r>
    <r>
      <rPr>
        <sz val="9"/>
        <rFont val="微软雅黑"/>
        <family val="0"/>
        <charset val="1"/>
      </rPr>
      <t xml:space="preserve">1/3</t>
    </r>
    <r>
      <rPr>
        <sz val="9"/>
        <rFont val="Noto Sans CJK SC"/>
        <family val="2"/>
      </rPr>
      <t xml:space="preserve">（</t>
    </r>
    <r>
      <rPr>
        <sz val="9"/>
        <rFont val="微软雅黑"/>
        <family val="0"/>
        <charset val="1"/>
      </rPr>
      <t xml:space="preserve">X 0—4700</t>
    </r>
    <r>
      <rPr>
        <sz val="9"/>
        <rFont val="Noto Sans CJK SC"/>
        <family val="2"/>
      </rPr>
      <t xml:space="preserve">）</t>
    </r>
  </si>
  <si>
    <r>
      <rPr>
        <sz val="9"/>
        <rFont val="微软雅黑"/>
        <family val="0"/>
        <charset val="1"/>
      </rPr>
      <t xml:space="preserve">DXF + PDF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1:8</t>
    </r>
  </si>
  <si>
    <r>
      <rPr>
        <sz val="9"/>
        <rFont val="Noto Sans CJK SC"/>
        <family val="2"/>
      </rPr>
      <t xml:space="preserve">分层：管道 </t>
    </r>
    <r>
      <rPr>
        <sz val="9"/>
        <rFont val="微软雅黑"/>
        <family val="0"/>
        <charset val="1"/>
      </rPr>
      <t xml:space="preserve">/ </t>
    </r>
    <r>
      <rPr>
        <sz val="9"/>
        <rFont val="Noto Sans CJK SC"/>
        <family val="2"/>
      </rPr>
      <t xml:space="preserve">阀门 </t>
    </r>
    <r>
      <rPr>
        <sz val="9"/>
        <rFont val="微软雅黑"/>
        <family val="0"/>
        <charset val="1"/>
      </rPr>
      <t xml:space="preserve">/ </t>
    </r>
    <r>
      <rPr>
        <sz val="9"/>
        <rFont val="Noto Sans CJK SC"/>
        <family val="2"/>
      </rPr>
      <t xml:space="preserve">法兰 </t>
    </r>
    <r>
      <rPr>
        <sz val="9"/>
        <rFont val="微软雅黑"/>
        <family val="0"/>
        <charset val="1"/>
      </rPr>
      <t xml:space="preserve">/ </t>
    </r>
    <r>
      <rPr>
        <sz val="9"/>
        <rFont val="Noto Sans CJK SC"/>
        <family val="2"/>
      </rPr>
      <t xml:space="preserve">甲板法兰 </t>
    </r>
    <r>
      <rPr>
        <sz val="9"/>
        <rFont val="微软雅黑"/>
        <family val="0"/>
        <charset val="1"/>
      </rPr>
      <t xml:space="preserve">/ </t>
    </r>
    <r>
      <rPr>
        <sz val="9"/>
        <rFont val="Noto Sans CJK SC"/>
        <family val="2"/>
      </rPr>
      <t xml:space="preserve">支吊架 </t>
    </r>
    <r>
      <rPr>
        <sz val="9"/>
        <rFont val="微软雅黑"/>
        <family val="0"/>
        <charset val="1"/>
      </rPr>
      <t xml:space="preserve">/ </t>
    </r>
    <r>
      <rPr>
        <sz val="9"/>
        <rFont val="Noto Sans CJK SC"/>
        <family val="2"/>
      </rPr>
      <t xml:space="preserve">标牌</t>
    </r>
  </si>
  <si>
    <t xml:space="preserve">MDCX-TA-PIP-GA-02</t>
  </si>
  <si>
    <r>
      <rPr>
        <sz val="9"/>
        <rFont val="Noto Sans CJK SC"/>
        <family val="2"/>
      </rPr>
      <t xml:space="preserve">管路舱 平面图 </t>
    </r>
    <r>
      <rPr>
        <sz val="9"/>
        <rFont val="微软雅黑"/>
        <family val="0"/>
        <charset val="1"/>
      </rPr>
      <t xml:space="preserve">/ </t>
    </r>
    <r>
      <rPr>
        <sz val="9"/>
        <rFont val="Noto Sans CJK SC"/>
        <family val="2"/>
      </rPr>
      <t xml:space="preserve">立面图 </t>
    </r>
    <r>
      <rPr>
        <sz val="9"/>
        <rFont val="微软雅黑"/>
        <family val="0"/>
        <charset val="1"/>
      </rPr>
      <t xml:space="preserve">2/3</t>
    </r>
    <r>
      <rPr>
        <sz val="9"/>
        <rFont val="Noto Sans CJK SC"/>
        <family val="2"/>
      </rPr>
      <t xml:space="preserve">（</t>
    </r>
    <r>
      <rPr>
        <sz val="9"/>
        <rFont val="微软雅黑"/>
        <family val="0"/>
        <charset val="1"/>
      </rPr>
      <t xml:space="preserve">X 4600—9300</t>
    </r>
    <r>
      <rPr>
        <sz val="9"/>
        <rFont val="Noto Sans CJK SC"/>
        <family val="2"/>
      </rPr>
      <t xml:space="preserve">）</t>
    </r>
  </si>
  <si>
    <t xml:space="preserve">MDCX-TA-PIP-GA-03</t>
  </si>
  <si>
    <r>
      <rPr>
        <sz val="9"/>
        <rFont val="Noto Sans CJK SC"/>
        <family val="2"/>
      </rPr>
      <t xml:space="preserve">管路舱 平面图 </t>
    </r>
    <r>
      <rPr>
        <sz val="9"/>
        <rFont val="微软雅黑"/>
        <family val="0"/>
        <charset val="1"/>
      </rPr>
      <t xml:space="preserve">/ </t>
    </r>
    <r>
      <rPr>
        <sz val="9"/>
        <rFont val="Noto Sans CJK SC"/>
        <family val="2"/>
      </rPr>
      <t xml:space="preserve">立面图 </t>
    </r>
    <r>
      <rPr>
        <sz val="9"/>
        <rFont val="微软雅黑"/>
        <family val="0"/>
        <charset val="1"/>
      </rPr>
      <t xml:space="preserve">3/3</t>
    </r>
    <r>
      <rPr>
        <sz val="9"/>
        <rFont val="Noto Sans CJK SC"/>
        <family val="2"/>
      </rPr>
      <t xml:space="preserve">（</t>
    </r>
    <r>
      <rPr>
        <sz val="9"/>
        <rFont val="微软雅黑"/>
        <family val="0"/>
        <charset val="1"/>
      </rPr>
      <t xml:space="preserve">X 9200—13900</t>
    </r>
    <r>
      <rPr>
        <sz val="9"/>
        <rFont val="Noto Sans CJK SC"/>
        <family val="2"/>
      </rPr>
      <t xml:space="preserve">）</t>
    </r>
  </si>
  <si>
    <t xml:space="preserve">MDCX-TA-PIP-GA-04</t>
  </si>
  <si>
    <r>
      <rPr>
        <sz val="9"/>
        <rFont val="Noto Sans CJK SC"/>
        <family val="2"/>
      </rPr>
      <t xml:space="preserve">典型断面 </t>
    </r>
    <r>
      <rPr>
        <sz val="9"/>
        <rFont val="微软雅黑"/>
        <family val="0"/>
        <charset val="1"/>
      </rPr>
      <t xml:space="preserve">(1/2)</t>
    </r>
    <r>
      <rPr>
        <sz val="9"/>
        <rFont val="Noto Sans CJK SC"/>
        <family val="2"/>
      </rPr>
      <t xml:space="preserve">：</t>
    </r>
    <r>
      <rPr>
        <sz val="9"/>
        <rFont val="微软雅黑"/>
        <family val="0"/>
        <charset val="1"/>
      </rPr>
      <t xml:space="preserve">A-A DLC </t>
    </r>
    <r>
      <rPr>
        <sz val="9"/>
        <rFont val="Noto Sans CJK SC"/>
        <family val="2"/>
      </rPr>
      <t xml:space="preserve">下引 </t>
    </r>
    <r>
      <rPr>
        <sz val="9"/>
        <rFont val="微软雅黑"/>
        <family val="0"/>
        <charset val="1"/>
      </rPr>
      <t xml:space="preserve">/ B-B CW </t>
    </r>
    <r>
      <rPr>
        <sz val="9"/>
        <rFont val="Noto Sans CJK SC"/>
        <family val="2"/>
      </rPr>
      <t xml:space="preserve">下引 </t>
    </r>
    <r>
      <rPr>
        <sz val="9"/>
        <rFont val="微软雅黑"/>
        <family val="0"/>
        <charset val="1"/>
      </rPr>
      <t xml:space="preserve">/ C-C CDU </t>
    </r>
    <r>
      <rPr>
        <sz val="9"/>
        <rFont val="Noto Sans CJK SC"/>
        <family val="2"/>
      </rPr>
      <t xml:space="preserve">接入</t>
    </r>
  </si>
  <si>
    <r>
      <rPr>
        <sz val="9"/>
        <rFont val="微软雅黑"/>
        <family val="0"/>
        <charset val="1"/>
      </rPr>
      <t xml:space="preserve">DXF + PDF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1:5</t>
    </r>
  </si>
  <si>
    <t xml:space="preserve">逐件构造与标高，含断面共同说明</t>
  </si>
  <si>
    <t xml:space="preserve">MDCX-TA-PIP-GA-05</t>
  </si>
  <si>
    <r>
      <rPr>
        <sz val="9"/>
        <rFont val="Noto Sans CJK SC"/>
        <family val="2"/>
      </rPr>
      <t xml:space="preserve">典型断面 </t>
    </r>
    <r>
      <rPr>
        <sz val="9"/>
        <rFont val="微软雅黑"/>
        <family val="0"/>
        <charset val="1"/>
      </rPr>
      <t xml:space="preserve">(2/2)</t>
    </r>
    <r>
      <rPr>
        <sz val="9"/>
        <rFont val="Noto Sans CJK SC"/>
        <family val="2"/>
      </rPr>
      <t xml:space="preserve">：</t>
    </r>
    <r>
      <rPr>
        <sz val="9"/>
        <rFont val="微软雅黑"/>
        <family val="0"/>
        <charset val="1"/>
      </rPr>
      <t xml:space="preserve">D-D LT </t>
    </r>
    <r>
      <rPr>
        <sz val="9"/>
        <rFont val="Noto Sans CJK SC"/>
        <family val="2"/>
      </rPr>
      <t xml:space="preserve">总管隔离阀 </t>
    </r>
    <r>
      <rPr>
        <sz val="9"/>
        <rFont val="微软雅黑"/>
        <family val="0"/>
        <charset val="1"/>
      </rPr>
      <t xml:space="preserve">/ E-E LT </t>
    </r>
    <r>
      <rPr>
        <sz val="9"/>
        <rFont val="Noto Sans CJK SC"/>
        <family val="2"/>
      </rPr>
      <t xml:space="preserve">旁通止回 </t>
    </r>
    <r>
      <rPr>
        <sz val="9"/>
        <rFont val="微软雅黑"/>
        <family val="0"/>
        <charset val="1"/>
      </rPr>
      <t xml:space="preserve">+ </t>
    </r>
    <r>
      <rPr>
        <sz val="9"/>
        <rFont val="Noto Sans CJK SC"/>
        <family val="2"/>
      </rPr>
      <t xml:space="preserve">管道表 </t>
    </r>
    <r>
      <rPr>
        <sz val="9"/>
        <rFont val="微软雅黑"/>
        <family val="0"/>
        <charset val="1"/>
      </rPr>
      <t xml:space="preserve">+ </t>
    </r>
    <r>
      <rPr>
        <sz val="9"/>
        <rFont val="Noto Sans CJK SC"/>
        <family val="2"/>
      </rPr>
      <t xml:space="preserve">阀门表</t>
    </r>
  </si>
  <si>
    <t xml:space="preserve">管道表与阀门表可直接对照清单</t>
  </si>
  <si>
    <t xml:space="preserve">MDCX-TA-PIP-GA-06</t>
  </si>
  <si>
    <r>
      <rPr>
        <sz val="9"/>
        <rFont val="Noto Sans CJK SC"/>
        <family val="2"/>
      </rPr>
      <t xml:space="preserve">支吊架详图：一次侧吊架 </t>
    </r>
    <r>
      <rPr>
        <sz val="9"/>
        <rFont val="微软雅黑"/>
        <family val="0"/>
        <charset val="1"/>
      </rPr>
      <t xml:space="preserve">/ HT </t>
    </r>
    <r>
      <rPr>
        <sz val="9"/>
        <rFont val="Noto Sans CJK SC"/>
        <family val="2"/>
      </rPr>
      <t xml:space="preserve">落地支架 </t>
    </r>
    <r>
      <rPr>
        <sz val="9"/>
        <rFont val="微软雅黑"/>
        <family val="0"/>
        <charset val="1"/>
      </rPr>
      <t xml:space="preserve">/ LT </t>
    </r>
    <r>
      <rPr>
        <sz val="9"/>
        <rFont val="Noto Sans CJK SC"/>
        <family val="2"/>
      </rPr>
      <t xml:space="preserve">落地支架</t>
    </r>
  </si>
  <si>
    <r>
      <rPr>
        <sz val="9"/>
        <rFont val="微软雅黑"/>
        <family val="0"/>
        <charset val="1"/>
      </rPr>
      <t xml:space="preserve">DXF + PDF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1:2.5</t>
    </r>
  </si>
  <si>
    <t xml:space="preserve">含支吊架统计表与材质要求</t>
  </si>
  <si>
    <t xml:space="preserve">MDCX-TA-PIP-GA-07</t>
  </si>
  <si>
    <t xml:space="preserve">甲板开孔与穿甲板快接法兰定位图</t>
  </si>
  <si>
    <r>
      <rPr>
        <sz val="9"/>
        <rFont val="微软雅黑"/>
        <family val="0"/>
        <charset val="1"/>
      </rPr>
      <t xml:space="preserve">DXF + PDF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1:20</t>
    </r>
  </si>
  <si>
    <r>
      <rPr>
        <sz val="9"/>
        <rFont val="Noto Sans CJK SC"/>
        <family val="2"/>
      </rPr>
      <t xml:space="preserve">附 </t>
    </r>
    <r>
      <rPr>
        <sz val="9"/>
        <rFont val="微软雅黑"/>
        <family val="0"/>
        <charset val="1"/>
      </rPr>
      <t xml:space="preserve">42 </t>
    </r>
    <r>
      <rPr>
        <sz val="9"/>
        <rFont val="Noto Sans CJK SC"/>
        <family val="2"/>
      </rPr>
      <t xml:space="preserve">只法兰位号 </t>
    </r>
    <r>
      <rPr>
        <sz val="9"/>
        <rFont val="微软雅黑"/>
        <family val="0"/>
        <charset val="1"/>
      </rPr>
      <t xml:space="preserve">/ </t>
    </r>
    <r>
      <rPr>
        <sz val="9"/>
        <rFont val="Noto Sans CJK SC"/>
        <family val="2"/>
      </rPr>
      <t xml:space="preserve">外径 </t>
    </r>
    <r>
      <rPr>
        <sz val="9"/>
        <rFont val="微软雅黑"/>
        <family val="0"/>
        <charset val="1"/>
      </rPr>
      <t xml:space="preserve">/ </t>
    </r>
    <r>
      <rPr>
        <sz val="9"/>
        <rFont val="Noto Sans CJK SC"/>
        <family val="2"/>
      </rPr>
      <t xml:space="preserve">高 </t>
    </r>
    <r>
      <rPr>
        <sz val="9"/>
        <rFont val="微软雅黑"/>
        <family val="0"/>
        <charset val="1"/>
      </rPr>
      <t xml:space="preserve">/ X / Y </t>
    </r>
    <r>
      <rPr>
        <sz val="9"/>
        <rFont val="Noto Sans CJK SC"/>
        <family val="2"/>
      </rPr>
      <t xml:space="preserve">坐标表</t>
    </r>
  </si>
  <si>
    <t xml:space="preserve">MDCX-TA-PIP-GA-08</t>
  </si>
  <si>
    <r>
      <rPr>
        <sz val="9"/>
        <rFont val="Noto Sans CJK SC"/>
        <family val="2"/>
      </rPr>
      <t xml:space="preserve">阀门操作面立面 </t>
    </r>
    <r>
      <rPr>
        <sz val="9"/>
        <rFont val="微软雅黑"/>
        <family val="0"/>
        <charset val="1"/>
      </rPr>
      <t xml:space="preserve">· </t>
    </r>
    <r>
      <rPr>
        <sz val="9"/>
        <rFont val="Noto Sans CJK SC"/>
        <family val="2"/>
      </rPr>
      <t xml:space="preserve">阀牌详图 </t>
    </r>
    <r>
      <rPr>
        <sz val="9"/>
        <rFont val="微软雅黑"/>
        <family val="0"/>
        <charset val="1"/>
      </rPr>
      <t xml:space="preserve">· </t>
    </r>
    <r>
      <rPr>
        <sz val="9"/>
        <rFont val="Noto Sans CJK SC"/>
        <family val="2"/>
      </rPr>
      <t xml:space="preserve">图例与图纸说明</t>
    </r>
  </si>
  <si>
    <r>
      <rPr>
        <sz val="9"/>
        <rFont val="微软雅黑"/>
        <family val="0"/>
        <charset val="1"/>
      </rPr>
      <t xml:space="preserve">DXF + PDF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1:20 / 1:2</t>
    </r>
  </si>
  <si>
    <r>
      <rPr>
        <sz val="9"/>
        <rFont val="Noto Sans CJK SC"/>
        <family val="2"/>
      </rPr>
      <t xml:space="preserve">含 </t>
    </r>
    <r>
      <rPr>
        <sz val="9"/>
        <rFont val="微软雅黑"/>
        <family val="0"/>
        <charset val="1"/>
      </rPr>
      <t xml:space="preserve">11 </t>
    </r>
    <r>
      <rPr>
        <sz val="9"/>
        <rFont val="Noto Sans CJK SC"/>
        <family val="2"/>
      </rPr>
      <t xml:space="preserve">条图纸说明与图层图例</t>
    </r>
  </si>
  <si>
    <t xml:space="preserve">MDCX_TA_Piping_GA_Rev1.pdf</t>
  </si>
  <si>
    <r>
      <rPr>
        <sz val="9"/>
        <rFont val="Noto Sans CJK SC"/>
        <family val="2"/>
      </rPr>
      <t xml:space="preserve">以上 </t>
    </r>
    <r>
      <rPr>
        <sz val="9"/>
        <rFont val="微软雅黑"/>
        <family val="0"/>
        <charset val="1"/>
      </rPr>
      <t xml:space="preserve">8 </t>
    </r>
    <r>
      <rPr>
        <sz val="9"/>
        <rFont val="Noto Sans CJK SC"/>
        <family val="2"/>
      </rPr>
      <t xml:space="preserve">张合订 </t>
    </r>
    <r>
      <rPr>
        <sz val="9"/>
        <rFont val="微软雅黑"/>
        <family val="0"/>
        <charset val="1"/>
      </rPr>
      <t xml:space="preserve">PDF</t>
    </r>
  </si>
  <si>
    <r>
      <rPr>
        <sz val="9"/>
        <rFont val="微软雅黑"/>
        <family val="0"/>
        <charset val="1"/>
      </rPr>
      <t xml:space="preserve">PDF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A1</t>
    </r>
    <r>
      <rPr>
        <sz val="9"/>
        <rFont val="Noto Sans CJK SC"/>
        <family val="2"/>
      </rPr>
      <t xml:space="preserve">，矢量</t>
    </r>
  </si>
  <si>
    <t xml:space="preserve">可无损放大打印</t>
  </si>
  <si>
    <t xml:space="preserve">二、三维模型</t>
  </si>
  <si>
    <t xml:space="preserve">MDCX_TA_Piping_RFI_step.zip</t>
  </si>
  <si>
    <r>
      <rPr>
        <sz val="9"/>
        <rFont val="Noto Sans CJK SC"/>
        <family val="2"/>
      </rPr>
      <t xml:space="preserve">管路系统 </t>
    </r>
    <r>
      <rPr>
        <sz val="9"/>
        <rFont val="微软雅黑"/>
        <family val="0"/>
        <charset val="1"/>
      </rPr>
      <t xml:space="preserve">STEP AP214 </t>
    </r>
    <r>
      <rPr>
        <sz val="9"/>
        <rFont val="Noto Sans CJK SC"/>
        <family val="2"/>
      </rPr>
      <t xml:space="preserve">装配体</t>
    </r>
  </si>
  <si>
    <r>
      <rPr>
        <sz val="9"/>
        <rFont val="微软雅黑"/>
        <family val="0"/>
        <charset val="1"/>
      </rPr>
      <t xml:space="preserve">STEP AP214</t>
    </r>
    <r>
      <rPr>
        <sz val="9"/>
        <rFont val="Noto Sans CJK SC"/>
        <family val="2"/>
      </rPr>
      <t xml:space="preserve">（解压约 </t>
    </r>
    <r>
      <rPr>
        <sz val="9"/>
        <rFont val="微软雅黑"/>
        <family val="0"/>
        <charset val="1"/>
      </rPr>
      <t xml:space="preserve">66 MB</t>
    </r>
    <r>
      <rPr>
        <sz val="9"/>
        <rFont val="Noto Sans CJK SC"/>
        <family val="2"/>
      </rPr>
      <t xml:space="preserve">）</t>
    </r>
  </si>
  <si>
    <r>
      <rPr>
        <sz val="9"/>
        <rFont val="微软雅黑"/>
        <family val="0"/>
        <charset val="1"/>
      </rPr>
      <t xml:space="preserve">662 </t>
    </r>
    <r>
      <rPr>
        <sz val="9"/>
        <rFont val="Noto Sans CJK SC"/>
        <family val="2"/>
      </rPr>
      <t xml:space="preserve">实体，带装配树与颜色，</t>
    </r>
    <r>
      <rPr>
        <sz val="9"/>
        <rFont val="微软雅黑"/>
        <family val="0"/>
        <charset val="1"/>
      </rPr>
      <t xml:space="preserve">mm</t>
    </r>
    <r>
      <rPr>
        <sz val="9"/>
        <rFont val="Noto Sans CJK SC"/>
        <family val="2"/>
      </rPr>
      <t xml:space="preserve">，模块坐标系；【几何最终判据】</t>
    </r>
  </si>
  <si>
    <t xml:space="preserve">MDCX_TA_Piping_RFI.blend</t>
  </si>
  <si>
    <r>
      <rPr>
        <sz val="9"/>
        <rFont val="微软雅黑"/>
        <family val="0"/>
        <charset val="1"/>
      </rPr>
      <t xml:space="preserve">Blender </t>
    </r>
    <r>
      <rPr>
        <sz val="9"/>
        <rFont val="Noto Sans CJK SC"/>
        <family val="2"/>
      </rPr>
      <t xml:space="preserve">三维模型（仅含询价范围）</t>
    </r>
  </si>
  <si>
    <t xml:space="preserve">.blend</t>
  </si>
  <si>
    <r>
      <rPr>
        <sz val="9"/>
        <rFont val="Noto Sans CJK SC"/>
        <family val="2"/>
      </rPr>
      <t xml:space="preserve">父级已烘焙，保留世界坐标，按 </t>
    </r>
    <r>
      <rPr>
        <sz val="9"/>
        <rFont val="微软雅黑"/>
        <family val="0"/>
        <charset val="1"/>
      </rPr>
      <t xml:space="preserve">8 </t>
    </r>
    <r>
      <rPr>
        <sz val="9"/>
        <rFont val="Noto Sans CJK SC"/>
        <family val="2"/>
      </rPr>
      <t xml:space="preserve">个总成分集合</t>
    </r>
  </si>
  <si>
    <t xml:space="preserve">三、文件</t>
  </si>
  <si>
    <t xml:space="preserve">RFI-PIP-001 Rev.1</t>
  </si>
  <si>
    <t xml:space="preserve">管路系统询价与技术要求</t>
  </si>
  <si>
    <t xml:space="preserve">PDF</t>
  </si>
  <si>
    <t xml:space="preserve">技术要求正文</t>
  </si>
  <si>
    <t xml:space="preserve">本文件</t>
  </si>
  <si>
    <t xml:space="preserve">设备材料清单（询价用）</t>
  </si>
  <si>
    <t xml:space="preserve">XLSX</t>
  </si>
  <si>
    <t xml:space="preserve">报价直接在「设备材料清单」表填写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</si>
</sst>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微软雅黑"/>
      <family val="0"/>
      <charset val="1"/>
    </font>
    <font>
      <b val="true"/>
      <sz val="14"/>
      <name val="Noto Sans CJK SC"/>
      <family val="2"/>
    </font>
    <font>
      <sz val="10"/>
      <color rgb="FFC00000"/>
      <name val="Noto Sans CJK SC"/>
      <family val="2"/>
    </font>
    <font>
      <sz val="10"/>
      <color rgb="FFC00000"/>
      <name val="微软雅黑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微软雅黑"/>
      <family val="0"/>
      <charset val="1"/>
    </font>
    <font>
      <b val="true"/>
      <sz val="10"/>
      <name val="微软雅黑"/>
      <family val="0"/>
      <charset val="1"/>
    </font>
    <font>
      <b val="true"/>
      <sz val="10"/>
      <name val="Noto Sans CJK SC"/>
      <family val="2"/>
    </font>
    <font>
      <sz val="9"/>
      <name val="微软雅黑"/>
      <family val="0"/>
      <charset val="1"/>
    </font>
    <font>
      <sz val="9"/>
      <name val="Noto Sans CJK SC"/>
      <family val="2"/>
    </font>
    <font>
      <b val="true"/>
      <sz val="9"/>
      <color rgb="FF808080"/>
      <name val="Noto Sans CJK SC"/>
      <family val="2"/>
    </font>
    <font>
      <i val="true"/>
      <sz val="9"/>
      <color rgb="FF808080"/>
      <name val="Noto Sans CJK SC"/>
      <family val="2"/>
    </font>
    <font>
      <i val="true"/>
      <sz val="9"/>
      <color rgb="FF808080"/>
      <name val="微软雅黑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M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46"/>
    <col collapsed="false" customWidth="true" hidden="false" outlineLevel="0" max="6" min="6" style="0" width="40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16"/>
    <col collapsed="false" customWidth="true" hidden="false" outlineLevel="0" max="10" min="10" style="0" width="42"/>
    <col collapsed="false" customWidth="true" hidden="false" outlineLevel="0" max="12" min="11" style="0" width="15"/>
    <col collapsed="false" customWidth="true" hidden="false" outlineLevel="0" max="13" min="13" style="0" width="30"/>
  </cols>
  <sheetData>
    <row r="1" customFormat="false" ht="21.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4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9.5" hidden="false" customHeight="true" outlineLevel="0" collapsed="false">
      <c r="A5" s="4" t="s">
        <v>15</v>
      </c>
      <c r="B5" s="5" t="s">
        <v>16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33.75" hidden="false" customHeight="true" outlineLevel="0" collapsed="false">
      <c r="A6" s="6" t="n">
        <v>1</v>
      </c>
      <c r="B6" s="7"/>
      <c r="C6" s="7" t="s">
        <v>17</v>
      </c>
      <c r="D6" s="8" t="s">
        <v>18</v>
      </c>
      <c r="E6" s="7" t="s">
        <v>19</v>
      </c>
      <c r="F6" s="8" t="s">
        <v>20</v>
      </c>
      <c r="G6" s="6" t="n">
        <v>13.2</v>
      </c>
      <c r="H6" s="6" t="s">
        <v>21</v>
      </c>
      <c r="I6" s="7" t="s">
        <v>22</v>
      </c>
      <c r="J6" s="9"/>
      <c r="K6" s="10"/>
      <c r="L6" s="10" t="str">
        <f aca="false">IF(K6="","",G6*K6)</f>
        <v/>
      </c>
      <c r="M6" s="7"/>
    </row>
    <row r="7" customFormat="false" ht="33.75" hidden="false" customHeight="true" outlineLevel="0" collapsed="false">
      <c r="A7" s="6" t="n">
        <v>2</v>
      </c>
      <c r="B7" s="7"/>
      <c r="C7" s="7" t="s">
        <v>23</v>
      </c>
      <c r="D7" s="8" t="s">
        <v>24</v>
      </c>
      <c r="E7" s="7" t="s">
        <v>25</v>
      </c>
      <c r="F7" s="8" t="s">
        <v>20</v>
      </c>
      <c r="G7" s="6" t="n">
        <v>13.5</v>
      </c>
      <c r="H7" s="6" t="s">
        <v>21</v>
      </c>
      <c r="I7" s="7" t="s">
        <v>22</v>
      </c>
      <c r="J7" s="9"/>
      <c r="K7" s="10"/>
      <c r="L7" s="10" t="str">
        <f aca="false">IF(K7="","",G7*K7)</f>
        <v/>
      </c>
      <c r="M7" s="7"/>
    </row>
    <row r="8" customFormat="false" ht="33.75" hidden="false" customHeight="true" outlineLevel="0" collapsed="false">
      <c r="A8" s="6" t="n">
        <v>3</v>
      </c>
      <c r="B8" s="7"/>
      <c r="C8" s="7" t="s">
        <v>26</v>
      </c>
      <c r="D8" s="8" t="s">
        <v>27</v>
      </c>
      <c r="E8" s="8" t="s">
        <v>28</v>
      </c>
      <c r="F8" s="8" t="s">
        <v>20</v>
      </c>
      <c r="G8" s="6" t="n">
        <v>1</v>
      </c>
      <c r="H8" s="11" t="s">
        <v>29</v>
      </c>
      <c r="I8" s="7" t="s">
        <v>30</v>
      </c>
      <c r="J8" s="9"/>
      <c r="K8" s="10"/>
      <c r="L8" s="10" t="str">
        <f aca="false">IF(K8="","",G8*K8)</f>
        <v/>
      </c>
      <c r="M8" s="7"/>
    </row>
    <row r="9" customFormat="false" ht="33.75" hidden="false" customHeight="true" outlineLevel="0" collapsed="false">
      <c r="A9" s="6" t="n">
        <v>4</v>
      </c>
      <c r="B9" s="7"/>
      <c r="C9" s="7" t="s">
        <v>31</v>
      </c>
      <c r="D9" s="8" t="s">
        <v>32</v>
      </c>
      <c r="E9" s="8" t="s">
        <v>33</v>
      </c>
      <c r="F9" s="7" t="s">
        <v>34</v>
      </c>
      <c r="G9" s="6" t="n">
        <v>4</v>
      </c>
      <c r="H9" s="11" t="s">
        <v>35</v>
      </c>
      <c r="I9" s="7" t="s">
        <v>36</v>
      </c>
      <c r="J9" s="9"/>
      <c r="K9" s="10"/>
      <c r="L9" s="10" t="str">
        <f aca="false">IF(K9="","",G9*K9)</f>
        <v/>
      </c>
      <c r="M9" s="7" t="s">
        <v>37</v>
      </c>
    </row>
    <row r="10" customFormat="false" ht="33.75" hidden="false" customHeight="true" outlineLevel="0" collapsed="false">
      <c r="A10" s="6" t="n">
        <v>5</v>
      </c>
      <c r="B10" s="7"/>
      <c r="C10" s="7" t="s">
        <v>38</v>
      </c>
      <c r="D10" s="8" t="s">
        <v>39</v>
      </c>
      <c r="E10" s="8" t="s">
        <v>40</v>
      </c>
      <c r="F10" s="7" t="s">
        <v>34</v>
      </c>
      <c r="G10" s="6" t="n">
        <v>2</v>
      </c>
      <c r="H10" s="11" t="s">
        <v>29</v>
      </c>
      <c r="I10" s="7" t="s">
        <v>30</v>
      </c>
      <c r="J10" s="9"/>
      <c r="K10" s="10"/>
      <c r="L10" s="10" t="str">
        <f aca="false">IF(K10="","",G10*K10)</f>
        <v/>
      </c>
      <c r="M10" s="7"/>
    </row>
    <row r="11" customFormat="false" ht="33.75" hidden="false" customHeight="true" outlineLevel="0" collapsed="false">
      <c r="A11" s="6" t="n">
        <v>6</v>
      </c>
      <c r="B11" s="7"/>
      <c r="C11" s="7" t="s">
        <v>41</v>
      </c>
      <c r="D11" s="8" t="s">
        <v>42</v>
      </c>
      <c r="E11" s="7" t="s">
        <v>43</v>
      </c>
      <c r="F11" s="7" t="s">
        <v>34</v>
      </c>
      <c r="G11" s="6" t="n">
        <v>2</v>
      </c>
      <c r="H11" s="11" t="s">
        <v>35</v>
      </c>
      <c r="I11" s="7" t="s">
        <v>30</v>
      </c>
      <c r="J11" s="9"/>
      <c r="K11" s="10"/>
      <c r="L11" s="10" t="str">
        <f aca="false">IF(K11="","",G11*K11)</f>
        <v/>
      </c>
      <c r="M11" s="7"/>
    </row>
    <row r="12" customFormat="false" ht="33.75" hidden="false" customHeight="true" outlineLevel="0" collapsed="false">
      <c r="A12" s="6" t="n">
        <v>7</v>
      </c>
      <c r="B12" s="7"/>
      <c r="C12" s="7" t="s">
        <v>44</v>
      </c>
      <c r="D12" s="8" t="s">
        <v>45</v>
      </c>
      <c r="E12" s="7" t="s">
        <v>46</v>
      </c>
      <c r="F12" s="7" t="s">
        <v>34</v>
      </c>
      <c r="G12" s="6" t="n">
        <v>2</v>
      </c>
      <c r="H12" s="11" t="s">
        <v>47</v>
      </c>
      <c r="I12" s="7" t="s">
        <v>30</v>
      </c>
      <c r="J12" s="9"/>
      <c r="K12" s="10"/>
      <c r="L12" s="10" t="str">
        <f aca="false">IF(K12="","",G12*K12)</f>
        <v/>
      </c>
      <c r="M12" s="7"/>
    </row>
    <row r="13" customFormat="false" ht="19.5" hidden="false" customHeight="true" outlineLevel="0" collapsed="false">
      <c r="A13" s="4" t="s">
        <v>48</v>
      </c>
      <c r="B13" s="5" t="s">
        <v>49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customFormat="false" ht="33.75" hidden="false" customHeight="true" outlineLevel="0" collapsed="false">
      <c r="A14" s="6" t="n">
        <v>8</v>
      </c>
      <c r="B14" s="7"/>
      <c r="C14" s="7" t="s">
        <v>50</v>
      </c>
      <c r="D14" s="8" t="s">
        <v>51</v>
      </c>
      <c r="E14" s="7" t="s">
        <v>52</v>
      </c>
      <c r="F14" s="7" t="s">
        <v>34</v>
      </c>
      <c r="G14" s="6" t="n">
        <v>1</v>
      </c>
      <c r="H14" s="11" t="s">
        <v>53</v>
      </c>
      <c r="I14" s="7" t="s">
        <v>54</v>
      </c>
      <c r="J14" s="9"/>
      <c r="K14" s="10"/>
      <c r="L14" s="10" t="str">
        <f aca="false">IF(K14="","",G14*K14)</f>
        <v/>
      </c>
      <c r="M14" s="8" t="s">
        <v>55</v>
      </c>
    </row>
    <row r="15" customFormat="false" ht="33.75" hidden="false" customHeight="true" outlineLevel="0" collapsed="false">
      <c r="A15" s="6" t="n">
        <v>9</v>
      </c>
      <c r="B15" s="7"/>
      <c r="C15" s="7" t="s">
        <v>56</v>
      </c>
      <c r="D15" s="8" t="s">
        <v>57</v>
      </c>
      <c r="E15" s="7" t="s">
        <v>58</v>
      </c>
      <c r="F15" s="7" t="s">
        <v>34</v>
      </c>
      <c r="G15" s="6" t="n">
        <v>1</v>
      </c>
      <c r="H15" s="11" t="s">
        <v>53</v>
      </c>
      <c r="I15" s="7" t="s">
        <v>54</v>
      </c>
      <c r="J15" s="9"/>
      <c r="K15" s="10"/>
      <c r="L15" s="10" t="str">
        <f aca="false">IF(K15="","",G15*K15)</f>
        <v/>
      </c>
      <c r="M15" s="8" t="s">
        <v>55</v>
      </c>
    </row>
    <row r="16" customFormat="false" ht="33.75" hidden="false" customHeight="true" outlineLevel="0" collapsed="false">
      <c r="A16" s="6" t="n">
        <v>10</v>
      </c>
      <c r="B16" s="7"/>
      <c r="C16" s="7" t="s">
        <v>59</v>
      </c>
      <c r="D16" s="7" t="s">
        <v>60</v>
      </c>
      <c r="E16" s="8" t="s">
        <v>61</v>
      </c>
      <c r="F16" s="7" t="s">
        <v>34</v>
      </c>
      <c r="G16" s="6" t="n">
        <v>1</v>
      </c>
      <c r="H16" s="11" t="s">
        <v>29</v>
      </c>
      <c r="I16" s="7" t="s">
        <v>62</v>
      </c>
      <c r="J16" s="9"/>
      <c r="K16" s="10"/>
      <c r="L16" s="10" t="str">
        <f aca="false">IF(K16="","",G16*K16)</f>
        <v/>
      </c>
      <c r="M16" s="7"/>
    </row>
    <row r="17" customFormat="false" ht="19.5" hidden="false" customHeight="true" outlineLevel="0" collapsed="false">
      <c r="A17" s="4" t="s">
        <v>63</v>
      </c>
      <c r="B17" s="5" t="s">
        <v>64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customFormat="false" ht="33.75" hidden="false" customHeight="true" outlineLevel="0" collapsed="false">
      <c r="A18" s="6" t="n">
        <v>11</v>
      </c>
      <c r="B18" s="7"/>
      <c r="C18" s="7" t="s">
        <v>65</v>
      </c>
      <c r="D18" s="8" t="s">
        <v>66</v>
      </c>
      <c r="E18" s="7" t="s">
        <v>67</v>
      </c>
      <c r="F18" s="7" t="s">
        <v>34</v>
      </c>
      <c r="G18" s="6" t="n">
        <v>13.1</v>
      </c>
      <c r="H18" s="6" t="s">
        <v>21</v>
      </c>
      <c r="I18" s="7" t="s">
        <v>30</v>
      </c>
      <c r="J18" s="9"/>
      <c r="K18" s="10"/>
      <c r="L18" s="10" t="str">
        <f aca="false">IF(K18="","",G18*K18)</f>
        <v/>
      </c>
      <c r="M18" s="7"/>
    </row>
    <row r="19" customFormat="false" ht="33.75" hidden="false" customHeight="true" outlineLevel="0" collapsed="false">
      <c r="A19" s="6" t="n">
        <v>12</v>
      </c>
      <c r="B19" s="7"/>
      <c r="C19" s="7" t="s">
        <v>68</v>
      </c>
      <c r="D19" s="8" t="s">
        <v>69</v>
      </c>
      <c r="E19" s="7" t="s">
        <v>70</v>
      </c>
      <c r="F19" s="7" t="s">
        <v>34</v>
      </c>
      <c r="G19" s="6" t="n">
        <v>13.1</v>
      </c>
      <c r="H19" s="6" t="s">
        <v>21</v>
      </c>
      <c r="I19" s="7" t="s">
        <v>30</v>
      </c>
      <c r="J19" s="9"/>
      <c r="K19" s="10"/>
      <c r="L19" s="10" t="str">
        <f aca="false">IF(K19="","",G19*K19)</f>
        <v/>
      </c>
      <c r="M19" s="7"/>
    </row>
    <row r="20" customFormat="false" ht="33.75" hidden="false" customHeight="true" outlineLevel="0" collapsed="false">
      <c r="A20" s="6" t="n">
        <v>13</v>
      </c>
      <c r="B20" s="7"/>
      <c r="C20" s="7" t="s">
        <v>71</v>
      </c>
      <c r="D20" s="7" t="s">
        <v>72</v>
      </c>
      <c r="E20" s="8" t="s">
        <v>73</v>
      </c>
      <c r="F20" s="7" t="s">
        <v>34</v>
      </c>
      <c r="G20" s="6" t="n">
        <v>4</v>
      </c>
      <c r="H20" s="11" t="s">
        <v>35</v>
      </c>
      <c r="I20" s="7" t="s">
        <v>36</v>
      </c>
      <c r="J20" s="9"/>
      <c r="K20" s="10"/>
      <c r="L20" s="10" t="str">
        <f aca="false">IF(K20="","",G20*K20)</f>
        <v/>
      </c>
      <c r="M20" s="7" t="s">
        <v>37</v>
      </c>
    </row>
    <row r="21" customFormat="false" ht="33.75" hidden="false" customHeight="true" outlineLevel="0" collapsed="false">
      <c r="A21" s="6" t="n">
        <v>14</v>
      </c>
      <c r="B21" s="7"/>
      <c r="C21" s="7" t="s">
        <v>74</v>
      </c>
      <c r="D21" s="7" t="s">
        <v>75</v>
      </c>
      <c r="E21" s="7" t="s">
        <v>76</v>
      </c>
      <c r="F21" s="7" t="s">
        <v>34</v>
      </c>
      <c r="G21" s="6" t="n">
        <v>1</v>
      </c>
      <c r="H21" s="11" t="s">
        <v>29</v>
      </c>
      <c r="I21" s="7" t="s">
        <v>77</v>
      </c>
      <c r="J21" s="9"/>
      <c r="K21" s="10"/>
      <c r="L21" s="10" t="str">
        <f aca="false">IF(K21="","",G21*K21)</f>
        <v/>
      </c>
      <c r="M21" s="7"/>
    </row>
    <row r="22" customFormat="false" ht="33.75" hidden="false" customHeight="true" outlineLevel="0" collapsed="false">
      <c r="A22" s="6" t="n">
        <v>15</v>
      </c>
      <c r="B22" s="7"/>
      <c r="C22" s="7" t="s">
        <v>78</v>
      </c>
      <c r="D22" s="7" t="s">
        <v>79</v>
      </c>
      <c r="E22" s="8" t="s">
        <v>80</v>
      </c>
      <c r="F22" s="7" t="s">
        <v>34</v>
      </c>
      <c r="G22" s="6" t="n">
        <v>1</v>
      </c>
      <c r="H22" s="11" t="s">
        <v>29</v>
      </c>
      <c r="I22" s="7" t="s">
        <v>30</v>
      </c>
      <c r="J22" s="9"/>
      <c r="K22" s="10"/>
      <c r="L22" s="10" t="str">
        <f aca="false">IF(K22="","",G22*K22)</f>
        <v/>
      </c>
      <c r="M22" s="7"/>
    </row>
    <row r="23" customFormat="false" ht="19.5" hidden="false" customHeight="true" outlineLevel="0" collapsed="false">
      <c r="A23" s="4" t="s">
        <v>81</v>
      </c>
      <c r="B23" s="5" t="s">
        <v>82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customFormat="false" ht="33.75" hidden="false" customHeight="true" outlineLevel="0" collapsed="false">
      <c r="A24" s="6" t="n">
        <v>16</v>
      </c>
      <c r="B24" s="7"/>
      <c r="C24" s="7" t="s">
        <v>83</v>
      </c>
      <c r="D24" s="7" t="s">
        <v>84</v>
      </c>
      <c r="E24" s="7" t="s">
        <v>85</v>
      </c>
      <c r="F24" s="7" t="s">
        <v>34</v>
      </c>
      <c r="G24" s="6" t="n">
        <v>16</v>
      </c>
      <c r="H24" s="11" t="s">
        <v>47</v>
      </c>
      <c r="I24" s="7" t="s">
        <v>86</v>
      </c>
      <c r="J24" s="9"/>
      <c r="K24" s="10"/>
      <c r="L24" s="10" t="str">
        <f aca="false">IF(K24="","",G24*K24)</f>
        <v/>
      </c>
      <c r="M24" s="7" t="s">
        <v>87</v>
      </c>
    </row>
    <row r="25" customFormat="false" ht="33.75" hidden="false" customHeight="true" outlineLevel="0" collapsed="false">
      <c r="A25" s="6" t="n">
        <v>17</v>
      </c>
      <c r="B25" s="7"/>
      <c r="C25" s="7" t="s">
        <v>88</v>
      </c>
      <c r="D25" s="8" t="s">
        <v>89</v>
      </c>
      <c r="E25" s="7" t="s">
        <v>90</v>
      </c>
      <c r="F25" s="7" t="s">
        <v>34</v>
      </c>
      <c r="G25" s="6" t="n">
        <v>16</v>
      </c>
      <c r="H25" s="11" t="s">
        <v>47</v>
      </c>
      <c r="I25" s="7" t="s">
        <v>91</v>
      </c>
      <c r="J25" s="9"/>
      <c r="K25" s="10"/>
      <c r="L25" s="10" t="str">
        <f aca="false">IF(K25="","",G25*K25)</f>
        <v/>
      </c>
      <c r="M25" s="7" t="s">
        <v>92</v>
      </c>
    </row>
    <row r="26" customFormat="false" ht="33.75" hidden="false" customHeight="true" outlineLevel="0" collapsed="false">
      <c r="A26" s="6" t="n">
        <v>18</v>
      </c>
      <c r="B26" s="7"/>
      <c r="C26" s="7" t="s">
        <v>93</v>
      </c>
      <c r="D26" s="7" t="s">
        <v>94</v>
      </c>
      <c r="E26" s="7" t="s">
        <v>95</v>
      </c>
      <c r="F26" s="7" t="s">
        <v>34</v>
      </c>
      <c r="G26" s="6" t="n">
        <v>8</v>
      </c>
      <c r="H26" s="11" t="s">
        <v>47</v>
      </c>
      <c r="I26" s="7" t="s">
        <v>96</v>
      </c>
      <c r="J26" s="9"/>
      <c r="K26" s="10"/>
      <c r="L26" s="10" t="str">
        <f aca="false">IF(K26="","",G26*K26)</f>
        <v/>
      </c>
      <c r="M26" s="8" t="s">
        <v>97</v>
      </c>
    </row>
    <row r="27" customFormat="false" ht="33.75" hidden="false" customHeight="true" outlineLevel="0" collapsed="false">
      <c r="A27" s="6" t="n">
        <v>19</v>
      </c>
      <c r="B27" s="7"/>
      <c r="C27" s="7" t="s">
        <v>98</v>
      </c>
      <c r="D27" s="7" t="s">
        <v>99</v>
      </c>
      <c r="E27" s="7" t="s">
        <v>100</v>
      </c>
      <c r="F27" s="7" t="s">
        <v>34</v>
      </c>
      <c r="G27" s="6" t="n">
        <v>4</v>
      </c>
      <c r="H27" s="11" t="s">
        <v>35</v>
      </c>
      <c r="I27" s="7" t="s">
        <v>96</v>
      </c>
      <c r="J27" s="9"/>
      <c r="K27" s="10"/>
      <c r="L27" s="10" t="str">
        <f aca="false">IF(K27="","",G27*K27)</f>
        <v/>
      </c>
      <c r="M27" s="7"/>
    </row>
    <row r="28" customFormat="false" ht="19.5" hidden="false" customHeight="true" outlineLevel="0" collapsed="false">
      <c r="A28" s="4" t="s">
        <v>101</v>
      </c>
      <c r="B28" s="5" t="s">
        <v>102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customFormat="false" ht="33.75" hidden="false" customHeight="true" outlineLevel="0" collapsed="false">
      <c r="A29" s="6" t="n">
        <v>20</v>
      </c>
      <c r="B29" s="7"/>
      <c r="C29" s="7" t="s">
        <v>103</v>
      </c>
      <c r="D29" s="8" t="s">
        <v>104</v>
      </c>
      <c r="E29" s="8" t="s">
        <v>105</v>
      </c>
      <c r="F29" s="8" t="s">
        <v>106</v>
      </c>
      <c r="G29" s="6" t="n">
        <v>16</v>
      </c>
      <c r="H29" s="11" t="s">
        <v>35</v>
      </c>
      <c r="I29" s="7" t="s">
        <v>86</v>
      </c>
      <c r="J29" s="9"/>
      <c r="K29" s="10"/>
      <c r="L29" s="10" t="str">
        <f aca="false">IF(K29="","",G29*K29)</f>
        <v/>
      </c>
      <c r="M29" s="8" t="s">
        <v>107</v>
      </c>
    </row>
    <row r="30" customFormat="false" ht="33.75" hidden="false" customHeight="true" outlineLevel="0" collapsed="false">
      <c r="A30" s="6" t="n">
        <v>21</v>
      </c>
      <c r="B30" s="7"/>
      <c r="C30" s="7" t="s">
        <v>108</v>
      </c>
      <c r="D30" s="8" t="s">
        <v>109</v>
      </c>
      <c r="E30" s="8" t="s">
        <v>110</v>
      </c>
      <c r="F30" s="8" t="s">
        <v>111</v>
      </c>
      <c r="G30" s="6" t="n">
        <v>16</v>
      </c>
      <c r="H30" s="11" t="s">
        <v>35</v>
      </c>
      <c r="I30" s="7" t="s">
        <v>91</v>
      </c>
      <c r="J30" s="9"/>
      <c r="K30" s="10"/>
      <c r="L30" s="10" t="str">
        <f aca="false">IF(K30="","",G30*K30)</f>
        <v/>
      </c>
      <c r="M30" s="7"/>
    </row>
    <row r="31" customFormat="false" ht="33.75" hidden="false" customHeight="true" outlineLevel="0" collapsed="false">
      <c r="A31" s="6" t="n">
        <v>22</v>
      </c>
      <c r="B31" s="7"/>
      <c r="C31" s="7" t="s">
        <v>112</v>
      </c>
      <c r="D31" s="7" t="s">
        <v>113</v>
      </c>
      <c r="E31" s="8" t="s">
        <v>114</v>
      </c>
      <c r="F31" s="8" t="s">
        <v>111</v>
      </c>
      <c r="G31" s="6" t="n">
        <v>4</v>
      </c>
      <c r="H31" s="11" t="s">
        <v>35</v>
      </c>
      <c r="I31" s="7" t="s">
        <v>96</v>
      </c>
      <c r="J31" s="9"/>
      <c r="K31" s="10"/>
      <c r="L31" s="10" t="str">
        <f aca="false">IF(K31="","",G31*K31)</f>
        <v/>
      </c>
      <c r="M31" s="8" t="s">
        <v>115</v>
      </c>
    </row>
    <row r="32" customFormat="false" ht="33.75" hidden="false" customHeight="true" outlineLevel="0" collapsed="false">
      <c r="A32" s="6" t="n">
        <v>23</v>
      </c>
      <c r="B32" s="7"/>
      <c r="C32" s="7" t="s">
        <v>116</v>
      </c>
      <c r="D32" s="7" t="s">
        <v>117</v>
      </c>
      <c r="E32" s="8" t="s">
        <v>118</v>
      </c>
      <c r="F32" s="8" t="s">
        <v>111</v>
      </c>
      <c r="G32" s="6" t="n">
        <v>4</v>
      </c>
      <c r="H32" s="11" t="s">
        <v>35</v>
      </c>
      <c r="I32" s="7" t="s">
        <v>119</v>
      </c>
      <c r="J32" s="9"/>
      <c r="K32" s="10"/>
      <c r="L32" s="10" t="str">
        <f aca="false">IF(K32="","",G32*K32)</f>
        <v/>
      </c>
      <c r="M32" s="7" t="s">
        <v>120</v>
      </c>
    </row>
    <row r="33" customFormat="false" ht="33.75" hidden="false" customHeight="true" outlineLevel="0" collapsed="false">
      <c r="A33" s="6" t="n">
        <v>24</v>
      </c>
      <c r="B33" s="7"/>
      <c r="C33" s="7" t="s">
        <v>121</v>
      </c>
      <c r="D33" s="7" t="s">
        <v>122</v>
      </c>
      <c r="E33" s="8" t="s">
        <v>123</v>
      </c>
      <c r="F33" s="8" t="s">
        <v>111</v>
      </c>
      <c r="G33" s="6" t="n">
        <v>1</v>
      </c>
      <c r="H33" s="11" t="s">
        <v>35</v>
      </c>
      <c r="I33" s="7" t="s">
        <v>77</v>
      </c>
      <c r="J33" s="9"/>
      <c r="K33" s="10"/>
      <c r="L33" s="10" t="str">
        <f aca="false">IF(K33="","",G33*K33)</f>
        <v/>
      </c>
      <c r="M33" s="7"/>
    </row>
    <row r="34" customFormat="false" ht="33.75" hidden="false" customHeight="true" outlineLevel="0" collapsed="false">
      <c r="A34" s="6" t="n">
        <v>25</v>
      </c>
      <c r="B34" s="7"/>
      <c r="C34" s="7" t="s">
        <v>124</v>
      </c>
      <c r="D34" s="7" t="s">
        <v>125</v>
      </c>
      <c r="E34" s="8" t="s">
        <v>126</v>
      </c>
      <c r="F34" s="8" t="s">
        <v>127</v>
      </c>
      <c r="G34" s="6" t="n">
        <v>4</v>
      </c>
      <c r="H34" s="11" t="s">
        <v>128</v>
      </c>
      <c r="I34" s="7" t="s">
        <v>96</v>
      </c>
      <c r="J34" s="9"/>
      <c r="K34" s="10"/>
      <c r="L34" s="10" t="str">
        <f aca="false">IF(K34="","",G34*K34)</f>
        <v/>
      </c>
      <c r="M34" s="8" t="s">
        <v>129</v>
      </c>
    </row>
    <row r="35" customFormat="false" ht="33.75" hidden="false" customHeight="true" outlineLevel="0" collapsed="false">
      <c r="A35" s="6" t="n">
        <v>26</v>
      </c>
      <c r="B35" s="7"/>
      <c r="C35" s="7" t="s">
        <v>130</v>
      </c>
      <c r="D35" s="8" t="s">
        <v>131</v>
      </c>
      <c r="E35" s="7" t="s">
        <v>130</v>
      </c>
      <c r="F35" s="7" t="s">
        <v>130</v>
      </c>
      <c r="G35" s="6" t="n">
        <v>0</v>
      </c>
      <c r="H35" s="6" t="s">
        <v>130</v>
      </c>
      <c r="I35" s="7" t="s">
        <v>36</v>
      </c>
      <c r="J35" s="9"/>
      <c r="K35" s="10"/>
      <c r="L35" s="10" t="str">
        <f aca="false">IF(K35="","",G35*K35)</f>
        <v/>
      </c>
      <c r="M35" s="8" t="s">
        <v>132</v>
      </c>
    </row>
    <row r="36" customFormat="false" ht="19.5" hidden="false" customHeight="true" outlineLevel="0" collapsed="false">
      <c r="A36" s="4" t="s">
        <v>133</v>
      </c>
      <c r="B36" s="5" t="s">
        <v>134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customFormat="false" ht="33.75" hidden="false" customHeight="true" outlineLevel="0" collapsed="false">
      <c r="A37" s="6" t="n">
        <v>27</v>
      </c>
      <c r="B37" s="7"/>
      <c r="C37" s="7" t="s">
        <v>135</v>
      </c>
      <c r="D37" s="8" t="s">
        <v>136</v>
      </c>
      <c r="E37" s="8" t="s">
        <v>137</v>
      </c>
      <c r="F37" s="7" t="s">
        <v>138</v>
      </c>
      <c r="G37" s="6" t="n">
        <v>36</v>
      </c>
      <c r="H37" s="11" t="s">
        <v>29</v>
      </c>
      <c r="I37" s="7" t="s">
        <v>139</v>
      </c>
      <c r="J37" s="9"/>
      <c r="K37" s="10"/>
      <c r="L37" s="10" t="str">
        <f aca="false">IF(K37="","",G37*K37)</f>
        <v/>
      </c>
      <c r="M37" s="8" t="s">
        <v>140</v>
      </c>
    </row>
    <row r="38" customFormat="false" ht="33.75" hidden="false" customHeight="true" outlineLevel="0" collapsed="false">
      <c r="A38" s="6" t="n">
        <v>28</v>
      </c>
      <c r="B38" s="7"/>
      <c r="C38" s="7" t="s">
        <v>141</v>
      </c>
      <c r="D38" s="8" t="s">
        <v>142</v>
      </c>
      <c r="E38" s="7" t="s">
        <v>143</v>
      </c>
      <c r="F38" s="8" t="s">
        <v>144</v>
      </c>
      <c r="G38" s="6" t="n">
        <v>4</v>
      </c>
      <c r="H38" s="11" t="s">
        <v>29</v>
      </c>
      <c r="I38" s="7" t="s">
        <v>119</v>
      </c>
      <c r="J38" s="9"/>
      <c r="K38" s="10"/>
      <c r="L38" s="10" t="str">
        <f aca="false">IF(K38="","",G38*K38)</f>
        <v/>
      </c>
      <c r="M38" s="7" t="s">
        <v>145</v>
      </c>
    </row>
    <row r="39" customFormat="false" ht="33.75" hidden="false" customHeight="true" outlineLevel="0" collapsed="false">
      <c r="A39" s="6" t="n">
        <v>29</v>
      </c>
      <c r="B39" s="7"/>
      <c r="C39" s="7" t="s">
        <v>146</v>
      </c>
      <c r="D39" s="8" t="s">
        <v>147</v>
      </c>
      <c r="E39" s="7" t="s">
        <v>148</v>
      </c>
      <c r="F39" s="8" t="s">
        <v>144</v>
      </c>
      <c r="G39" s="6" t="n">
        <v>40</v>
      </c>
      <c r="H39" s="11" t="s">
        <v>35</v>
      </c>
      <c r="I39" s="7" t="s">
        <v>149</v>
      </c>
      <c r="J39" s="9"/>
      <c r="K39" s="10"/>
      <c r="L39" s="10" t="str">
        <f aca="false">IF(K39="","",G39*K39)</f>
        <v/>
      </c>
      <c r="M39" s="8" t="s">
        <v>150</v>
      </c>
    </row>
    <row r="40" customFormat="false" ht="19.5" hidden="false" customHeight="true" outlineLevel="0" collapsed="false">
      <c r="A40" s="4" t="s">
        <v>151</v>
      </c>
      <c r="B40" s="5" t="s">
        <v>152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customFormat="false" ht="33.75" hidden="false" customHeight="true" outlineLevel="0" collapsed="false">
      <c r="A41" s="6" t="n">
        <v>30</v>
      </c>
      <c r="B41" s="7"/>
      <c r="C41" s="7" t="s">
        <v>153</v>
      </c>
      <c r="D41" s="8" t="s">
        <v>154</v>
      </c>
      <c r="E41" s="7" t="s">
        <v>155</v>
      </c>
      <c r="F41" s="7" t="s">
        <v>34</v>
      </c>
      <c r="G41" s="6" t="n">
        <v>16</v>
      </c>
      <c r="H41" s="11" t="s">
        <v>35</v>
      </c>
      <c r="I41" s="7" t="s">
        <v>156</v>
      </c>
      <c r="J41" s="9"/>
      <c r="K41" s="10"/>
      <c r="L41" s="10" t="str">
        <f aca="false">IF(K41="","",G41*K41)</f>
        <v/>
      </c>
      <c r="M41" s="8" t="s">
        <v>157</v>
      </c>
    </row>
    <row r="42" customFormat="false" ht="33.75" hidden="false" customHeight="true" outlineLevel="0" collapsed="false">
      <c r="A42" s="6" t="n">
        <v>31</v>
      </c>
      <c r="B42" s="7"/>
      <c r="C42" s="7" t="s">
        <v>158</v>
      </c>
      <c r="D42" s="8" t="s">
        <v>159</v>
      </c>
      <c r="E42" s="7" t="s">
        <v>160</v>
      </c>
      <c r="F42" s="7" t="s">
        <v>34</v>
      </c>
      <c r="G42" s="6" t="n">
        <v>16</v>
      </c>
      <c r="H42" s="11" t="s">
        <v>35</v>
      </c>
      <c r="I42" s="7" t="s">
        <v>156</v>
      </c>
      <c r="J42" s="9"/>
      <c r="K42" s="10"/>
      <c r="L42" s="10" t="str">
        <f aca="false">IF(K42="","",G42*K42)</f>
        <v/>
      </c>
      <c r="M42" s="8" t="s">
        <v>111</v>
      </c>
    </row>
    <row r="43" customFormat="false" ht="33.75" hidden="false" customHeight="true" outlineLevel="0" collapsed="false">
      <c r="A43" s="6" t="n">
        <v>32</v>
      </c>
      <c r="B43" s="7"/>
      <c r="C43" s="7" t="s">
        <v>161</v>
      </c>
      <c r="D43" s="8" t="s">
        <v>162</v>
      </c>
      <c r="E43" s="7" t="s">
        <v>163</v>
      </c>
      <c r="F43" s="7" t="s">
        <v>34</v>
      </c>
      <c r="G43" s="6" t="n">
        <v>4</v>
      </c>
      <c r="H43" s="11" t="s">
        <v>35</v>
      </c>
      <c r="I43" s="7" t="s">
        <v>156</v>
      </c>
      <c r="J43" s="9"/>
      <c r="K43" s="10"/>
      <c r="L43" s="10" t="str">
        <f aca="false">IF(K43="","",G43*K43)</f>
        <v/>
      </c>
      <c r="M43" s="8" t="s">
        <v>111</v>
      </c>
    </row>
    <row r="44" customFormat="false" ht="33.75" hidden="false" customHeight="true" outlineLevel="0" collapsed="false">
      <c r="A44" s="6" t="n">
        <v>33</v>
      </c>
      <c r="B44" s="7"/>
      <c r="C44" s="7" t="s">
        <v>164</v>
      </c>
      <c r="D44" s="8" t="s">
        <v>165</v>
      </c>
      <c r="E44" s="7" t="s">
        <v>166</v>
      </c>
      <c r="F44" s="7" t="s">
        <v>34</v>
      </c>
      <c r="G44" s="6" t="n">
        <v>4</v>
      </c>
      <c r="H44" s="11" t="s">
        <v>35</v>
      </c>
      <c r="I44" s="7" t="s">
        <v>156</v>
      </c>
      <c r="J44" s="9"/>
      <c r="K44" s="10"/>
      <c r="L44" s="10" t="str">
        <f aca="false">IF(K44="","",G44*K44)</f>
        <v/>
      </c>
      <c r="M44" s="8" t="s">
        <v>111</v>
      </c>
    </row>
    <row r="45" customFormat="false" ht="33.75" hidden="false" customHeight="true" outlineLevel="0" collapsed="false">
      <c r="A45" s="6" t="n">
        <v>34</v>
      </c>
      <c r="B45" s="7"/>
      <c r="C45" s="7" t="s">
        <v>167</v>
      </c>
      <c r="D45" s="8" t="s">
        <v>168</v>
      </c>
      <c r="E45" s="7" t="s">
        <v>169</v>
      </c>
      <c r="F45" s="7" t="s">
        <v>130</v>
      </c>
      <c r="G45" s="6" t="n">
        <v>0</v>
      </c>
      <c r="H45" s="11" t="s">
        <v>35</v>
      </c>
      <c r="I45" s="7" t="s">
        <v>156</v>
      </c>
      <c r="J45" s="9"/>
      <c r="K45" s="10"/>
      <c r="L45" s="10" t="str">
        <f aca="false">IF(K45="","",G45*K45)</f>
        <v/>
      </c>
      <c r="M45" s="7" t="s">
        <v>170</v>
      </c>
    </row>
    <row r="46" customFormat="false" ht="19.5" hidden="false" customHeight="true" outlineLevel="0" collapsed="false">
      <c r="A46" s="4" t="s">
        <v>171</v>
      </c>
      <c r="B46" s="5" t="s">
        <v>172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customFormat="false" ht="33.75" hidden="false" customHeight="true" outlineLevel="0" collapsed="false">
      <c r="A47" s="6" t="n">
        <v>35</v>
      </c>
      <c r="B47" s="7"/>
      <c r="C47" s="7" t="s">
        <v>173</v>
      </c>
      <c r="D47" s="8" t="s">
        <v>174</v>
      </c>
      <c r="E47" s="7" t="s">
        <v>175</v>
      </c>
      <c r="F47" s="7" t="s">
        <v>176</v>
      </c>
      <c r="G47" s="6" t="n">
        <v>40</v>
      </c>
      <c r="H47" s="11" t="s">
        <v>177</v>
      </c>
      <c r="I47" s="7" t="s">
        <v>149</v>
      </c>
      <c r="J47" s="9"/>
      <c r="K47" s="10"/>
      <c r="L47" s="10" t="str">
        <f aca="false">IF(K47="","",G47*K47)</f>
        <v/>
      </c>
      <c r="M47" s="8" t="s">
        <v>178</v>
      </c>
    </row>
    <row r="48" customFormat="false" ht="33.75" hidden="false" customHeight="true" outlineLevel="0" collapsed="false">
      <c r="A48" s="6" t="n">
        <v>36</v>
      </c>
      <c r="B48" s="7"/>
      <c r="C48" s="7" t="s">
        <v>179</v>
      </c>
      <c r="D48" s="8" t="s">
        <v>180</v>
      </c>
      <c r="E48" s="7" t="s">
        <v>181</v>
      </c>
      <c r="F48" s="7" t="s">
        <v>182</v>
      </c>
      <c r="G48" s="6" t="n">
        <v>1</v>
      </c>
      <c r="H48" s="11" t="s">
        <v>183</v>
      </c>
      <c r="I48" s="7" t="s">
        <v>149</v>
      </c>
      <c r="J48" s="9"/>
      <c r="K48" s="10"/>
      <c r="L48" s="10" t="str">
        <f aca="false">IF(K48="","",G48*K48)</f>
        <v/>
      </c>
      <c r="M48" s="8" t="s">
        <v>184</v>
      </c>
    </row>
    <row r="49" customFormat="false" ht="19.5" hidden="false" customHeight="true" outlineLevel="0" collapsed="false">
      <c r="A49" s="4" t="s">
        <v>185</v>
      </c>
      <c r="B49" s="5" t="s">
        <v>186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customFormat="false" ht="33.75" hidden="false" customHeight="true" outlineLevel="0" collapsed="false">
      <c r="A50" s="6" t="n">
        <v>37</v>
      </c>
      <c r="B50" s="7"/>
      <c r="C50" s="7" t="s">
        <v>187</v>
      </c>
      <c r="D50" s="8" t="s">
        <v>188</v>
      </c>
      <c r="E50" s="7" t="s">
        <v>189</v>
      </c>
      <c r="F50" s="8" t="s">
        <v>190</v>
      </c>
      <c r="G50" s="6" t="n">
        <v>10</v>
      </c>
      <c r="H50" s="11" t="s">
        <v>191</v>
      </c>
      <c r="I50" s="7" t="s">
        <v>192</v>
      </c>
      <c r="J50" s="9"/>
      <c r="K50" s="10"/>
      <c r="L50" s="10" t="str">
        <f aca="false">IF(K50="","",G50*K50)</f>
        <v/>
      </c>
      <c r="M50" s="8" t="s">
        <v>193</v>
      </c>
    </row>
    <row r="51" customFormat="false" ht="33.75" hidden="false" customHeight="true" outlineLevel="0" collapsed="false">
      <c r="A51" s="6" t="n">
        <v>38</v>
      </c>
      <c r="B51" s="7"/>
      <c r="C51" s="7" t="s">
        <v>194</v>
      </c>
      <c r="D51" s="7" t="s">
        <v>195</v>
      </c>
      <c r="E51" s="8" t="s">
        <v>196</v>
      </c>
      <c r="F51" s="8" t="s">
        <v>111</v>
      </c>
      <c r="G51" s="6" t="n">
        <v>6</v>
      </c>
      <c r="H51" s="11" t="s">
        <v>191</v>
      </c>
      <c r="I51" s="7" t="s">
        <v>192</v>
      </c>
      <c r="J51" s="9"/>
      <c r="K51" s="10"/>
      <c r="L51" s="10" t="str">
        <f aca="false">IF(K51="","",G51*K51)</f>
        <v/>
      </c>
      <c r="M51" s="8" t="s">
        <v>197</v>
      </c>
    </row>
    <row r="52" customFormat="false" ht="33.75" hidden="false" customHeight="true" outlineLevel="0" collapsed="false">
      <c r="A52" s="6" t="n">
        <v>39</v>
      </c>
      <c r="B52" s="7"/>
      <c r="C52" s="7" t="s">
        <v>198</v>
      </c>
      <c r="D52" s="7" t="s">
        <v>199</v>
      </c>
      <c r="E52" s="8" t="s">
        <v>200</v>
      </c>
      <c r="F52" s="8" t="s">
        <v>111</v>
      </c>
      <c r="G52" s="6" t="n">
        <v>8</v>
      </c>
      <c r="H52" s="11" t="s">
        <v>191</v>
      </c>
      <c r="I52" s="7" t="s">
        <v>192</v>
      </c>
      <c r="J52" s="9"/>
      <c r="K52" s="10"/>
      <c r="L52" s="10" t="str">
        <f aca="false">IF(K52="","",G52*K52)</f>
        <v/>
      </c>
      <c r="M52" s="8" t="s">
        <v>201</v>
      </c>
    </row>
    <row r="53" customFormat="false" ht="19.5" hidden="false" customHeight="true" outlineLevel="0" collapsed="false">
      <c r="A53" s="4" t="s">
        <v>202</v>
      </c>
      <c r="B53" s="5" t="s">
        <v>203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customFormat="false" ht="33.75" hidden="false" customHeight="true" outlineLevel="0" collapsed="false">
      <c r="A54" s="6" t="n">
        <v>40</v>
      </c>
      <c r="B54" s="7"/>
      <c r="C54" s="7" t="s">
        <v>204</v>
      </c>
      <c r="D54" s="8" t="s">
        <v>205</v>
      </c>
      <c r="E54" s="8" t="s">
        <v>206</v>
      </c>
      <c r="F54" s="7" t="s">
        <v>34</v>
      </c>
      <c r="G54" s="6" t="n">
        <v>1</v>
      </c>
      <c r="H54" s="11" t="s">
        <v>29</v>
      </c>
      <c r="I54" s="7" t="s">
        <v>130</v>
      </c>
      <c r="J54" s="9"/>
      <c r="K54" s="10"/>
      <c r="L54" s="10" t="str">
        <f aca="false">IF(K54="","",G54*K54)</f>
        <v/>
      </c>
      <c r="M54" s="7"/>
    </row>
    <row r="55" customFormat="false" ht="33.75" hidden="false" customHeight="true" outlineLevel="0" collapsed="false">
      <c r="A55" s="6" t="n">
        <v>41</v>
      </c>
      <c r="B55" s="7"/>
      <c r="C55" s="7" t="s">
        <v>207</v>
      </c>
      <c r="D55" s="8" t="s">
        <v>208</v>
      </c>
      <c r="E55" s="8" t="s">
        <v>209</v>
      </c>
      <c r="F55" s="7" t="s">
        <v>130</v>
      </c>
      <c r="G55" s="6" t="n">
        <v>1</v>
      </c>
      <c r="H55" s="11" t="s">
        <v>29</v>
      </c>
      <c r="I55" s="7" t="s">
        <v>130</v>
      </c>
      <c r="J55" s="9"/>
      <c r="K55" s="10"/>
      <c r="L55" s="10" t="str">
        <f aca="false">IF(K55="","",G55*K55)</f>
        <v/>
      </c>
      <c r="M55" s="8" t="s">
        <v>210</v>
      </c>
    </row>
    <row r="56" customFormat="false" ht="33.75" hidden="false" customHeight="true" outlineLevel="0" collapsed="false">
      <c r="A56" s="6" t="n">
        <v>42</v>
      </c>
      <c r="B56" s="7"/>
      <c r="C56" s="7" t="s">
        <v>211</v>
      </c>
      <c r="D56" s="8" t="s">
        <v>212</v>
      </c>
      <c r="E56" s="8" t="s">
        <v>213</v>
      </c>
      <c r="F56" s="7" t="s">
        <v>130</v>
      </c>
      <c r="G56" s="6" t="n">
        <v>1</v>
      </c>
      <c r="H56" s="11" t="s">
        <v>29</v>
      </c>
      <c r="I56" s="7" t="s">
        <v>149</v>
      </c>
      <c r="J56" s="9"/>
      <c r="K56" s="10"/>
      <c r="L56" s="10" t="str">
        <f aca="false">IF(K56="","",G56*K56)</f>
        <v/>
      </c>
      <c r="M56" s="7"/>
    </row>
    <row r="57" customFormat="false" ht="33.75" hidden="false" customHeight="true" outlineLevel="0" collapsed="false">
      <c r="A57" s="6" t="n">
        <v>43</v>
      </c>
      <c r="B57" s="7"/>
      <c r="C57" s="7" t="s">
        <v>214</v>
      </c>
      <c r="D57" s="8" t="s">
        <v>215</v>
      </c>
      <c r="E57" s="8" t="s">
        <v>216</v>
      </c>
      <c r="F57" s="7" t="s">
        <v>130</v>
      </c>
      <c r="G57" s="6" t="n">
        <v>1</v>
      </c>
      <c r="H57" s="11" t="s">
        <v>29</v>
      </c>
      <c r="I57" s="7" t="s">
        <v>130</v>
      </c>
      <c r="J57" s="9"/>
      <c r="K57" s="10"/>
      <c r="L57" s="10" t="str">
        <f aca="false">IF(K57="","",G57*K57)</f>
        <v/>
      </c>
      <c r="M57" s="8" t="s">
        <v>217</v>
      </c>
    </row>
    <row r="58" customFormat="false" ht="33.75" hidden="false" customHeight="true" outlineLevel="0" collapsed="false">
      <c r="A58" s="6" t="n">
        <v>44</v>
      </c>
      <c r="B58" s="7"/>
      <c r="C58" s="7" t="s">
        <v>218</v>
      </c>
      <c r="D58" s="8" t="s">
        <v>219</v>
      </c>
      <c r="E58" s="8" t="s">
        <v>220</v>
      </c>
      <c r="F58" s="7" t="s">
        <v>130</v>
      </c>
      <c r="G58" s="6" t="n">
        <v>1</v>
      </c>
      <c r="H58" s="11" t="s">
        <v>29</v>
      </c>
      <c r="I58" s="7" t="s">
        <v>130</v>
      </c>
      <c r="J58" s="9"/>
      <c r="K58" s="10"/>
      <c r="L58" s="10" t="str">
        <f aca="false">IF(K58="","",G58*K58)</f>
        <v/>
      </c>
      <c r="M58" s="8" t="s">
        <v>221</v>
      </c>
    </row>
    <row r="59" customFormat="false" ht="33.75" hidden="false" customHeight="true" outlineLevel="0" collapsed="false">
      <c r="A59" s="6" t="n">
        <v>45</v>
      </c>
      <c r="B59" s="7"/>
      <c r="C59" s="7" t="s">
        <v>222</v>
      </c>
      <c r="D59" s="8" t="s">
        <v>223</v>
      </c>
      <c r="E59" s="7" t="s">
        <v>224</v>
      </c>
      <c r="F59" s="7" t="s">
        <v>130</v>
      </c>
      <c r="G59" s="6" t="n">
        <v>1</v>
      </c>
      <c r="H59" s="11" t="s">
        <v>29</v>
      </c>
      <c r="I59" s="7" t="s">
        <v>130</v>
      </c>
      <c r="J59" s="9"/>
      <c r="K59" s="10"/>
      <c r="L59" s="10" t="str">
        <f aca="false">IF(K59="","",G59*K59)</f>
        <v/>
      </c>
      <c r="M59" s="7"/>
    </row>
    <row r="60" customFormat="false" ht="33.75" hidden="false" customHeight="true" outlineLevel="0" collapsed="false">
      <c r="A60" s="6" t="n">
        <v>46</v>
      </c>
      <c r="B60" s="7"/>
      <c r="C60" s="7" t="s">
        <v>225</v>
      </c>
      <c r="D60" s="8" t="s">
        <v>226</v>
      </c>
      <c r="E60" s="8" t="s">
        <v>227</v>
      </c>
      <c r="F60" s="7" t="s">
        <v>130</v>
      </c>
      <c r="G60" s="6" t="n">
        <v>1</v>
      </c>
      <c r="H60" s="11" t="s">
        <v>29</v>
      </c>
      <c r="I60" s="7" t="s">
        <v>130</v>
      </c>
      <c r="J60" s="9"/>
      <c r="K60" s="10"/>
      <c r="L60" s="10" t="str">
        <f aca="false">IF(K60="","",G60*K60)</f>
        <v/>
      </c>
      <c r="M60" s="8" t="s">
        <v>228</v>
      </c>
    </row>
    <row r="61" customFormat="false" ht="33.75" hidden="false" customHeight="true" outlineLevel="0" collapsed="false">
      <c r="A61" s="6" t="n">
        <v>47</v>
      </c>
      <c r="B61" s="7"/>
      <c r="C61" s="7" t="s">
        <v>229</v>
      </c>
      <c r="D61" s="8" t="s">
        <v>230</v>
      </c>
      <c r="E61" s="8" t="s">
        <v>231</v>
      </c>
      <c r="F61" s="7" t="s">
        <v>130</v>
      </c>
      <c r="G61" s="6" t="n">
        <v>0</v>
      </c>
      <c r="H61" s="11" t="s">
        <v>232</v>
      </c>
      <c r="I61" s="7" t="s">
        <v>130</v>
      </c>
      <c r="J61" s="9"/>
      <c r="K61" s="10"/>
      <c r="L61" s="10" t="str">
        <f aca="false">IF(K61="","",G61*K61)</f>
        <v/>
      </c>
      <c r="M61" s="8" t="s">
        <v>233</v>
      </c>
    </row>
    <row r="62" customFormat="false" ht="33.75" hidden="false" customHeight="true" outlineLevel="0" collapsed="false">
      <c r="A62" s="6" t="n">
        <v>48</v>
      </c>
      <c r="B62" s="7"/>
      <c r="C62" s="7" t="s">
        <v>234</v>
      </c>
      <c r="D62" s="8" t="s">
        <v>235</v>
      </c>
      <c r="E62" s="8" t="s">
        <v>236</v>
      </c>
      <c r="F62" s="7" t="s">
        <v>130</v>
      </c>
      <c r="G62" s="6" t="n">
        <v>1</v>
      </c>
      <c r="H62" s="11" t="s">
        <v>29</v>
      </c>
      <c r="I62" s="7" t="s">
        <v>130</v>
      </c>
      <c r="J62" s="9"/>
      <c r="K62" s="10"/>
      <c r="L62" s="10" t="str">
        <f aca="false">IF(K62="","",G62*K62)</f>
        <v/>
      </c>
      <c r="M62" s="7"/>
    </row>
    <row r="63" customFormat="false" ht="15" hidden="false" customHeight="false" outlineLevel="0" collapsed="false">
      <c r="A63" s="12"/>
      <c r="B63" s="12"/>
      <c r="C63" s="12"/>
      <c r="D63" s="13" t="s">
        <v>237</v>
      </c>
      <c r="E63" s="12"/>
      <c r="F63" s="12"/>
      <c r="G63" s="12"/>
      <c r="H63" s="12"/>
      <c r="I63" s="12"/>
      <c r="J63" s="12"/>
      <c r="K63" s="12"/>
      <c r="L63" s="14" t="str">
        <f aca="false">IF(SUM(K5:K62)=0,"",SUM(L5:L62))</f>
        <v/>
      </c>
      <c r="M63" s="12"/>
    </row>
    <row r="65" customFormat="false" ht="15" hidden="false" customHeight="false" outlineLevel="0" collapsed="false">
      <c r="A65" s="15" t="s">
        <v>238</v>
      </c>
    </row>
    <row r="66" customFormat="false" ht="15" hidden="false" customHeight="false" outlineLevel="0" collapsed="false">
      <c r="A66" s="16" t="s">
        <v>239</v>
      </c>
      <c r="B66" s="17" t="s">
        <v>101</v>
      </c>
      <c r="C66" s="17" t="s">
        <v>103</v>
      </c>
      <c r="D66" s="16" t="s">
        <v>240</v>
      </c>
      <c r="E66" s="16" t="s">
        <v>241</v>
      </c>
      <c r="F66" s="17" t="s">
        <v>242</v>
      </c>
      <c r="G66" s="16" t="n">
        <v>16</v>
      </c>
      <c r="H66" s="16" t="s">
        <v>35</v>
      </c>
      <c r="I66" s="17" t="s">
        <v>86</v>
      </c>
      <c r="J66" s="17" t="s">
        <v>243</v>
      </c>
      <c r="K66" s="16" t="n">
        <v>1234.56</v>
      </c>
      <c r="L66" s="18" t="n">
        <f aca="false">G66*K66</f>
        <v>19752.96</v>
      </c>
      <c r="M66" s="16" t="s">
        <v>244</v>
      </c>
    </row>
  </sheetData>
  <mergeCells count="12">
    <mergeCell ref="A1:M1"/>
    <mergeCell ref="A2:M2"/>
    <mergeCell ref="B5:M5"/>
    <mergeCell ref="B13:M13"/>
    <mergeCell ref="B17:M17"/>
    <mergeCell ref="B23:M23"/>
    <mergeCell ref="B28:M28"/>
    <mergeCell ref="B36:M36"/>
    <mergeCell ref="B40:M40"/>
    <mergeCell ref="B46:M46"/>
    <mergeCell ref="B49:M49"/>
    <mergeCell ref="B53:M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26"/>
    <col collapsed="false" customWidth="true" hidden="false" outlineLevel="0" max="5" min="5" style="0" width="60"/>
  </cols>
  <sheetData>
    <row r="1" customFormat="false" ht="21.6" hidden="false" customHeight="false" outlineLevel="0" collapsed="false">
      <c r="A1" s="1" t="s">
        <v>245</v>
      </c>
      <c r="B1" s="1"/>
      <c r="C1" s="1"/>
      <c r="D1" s="1"/>
      <c r="E1" s="1"/>
    </row>
    <row r="2" customFormat="false" ht="15" hidden="false" customHeight="false" outlineLevel="0" collapsed="false">
      <c r="A2" s="19" t="s">
        <v>246</v>
      </c>
      <c r="B2" s="19"/>
      <c r="C2" s="19"/>
      <c r="D2" s="19"/>
      <c r="E2" s="19"/>
    </row>
    <row r="4" customFormat="false" ht="15" hidden="false" customHeight="false" outlineLevel="0" collapsed="false">
      <c r="A4" s="20" t="s">
        <v>2</v>
      </c>
      <c r="B4" s="20" t="s">
        <v>247</v>
      </c>
      <c r="C4" s="20" t="s">
        <v>5</v>
      </c>
      <c r="D4" s="20" t="s">
        <v>248</v>
      </c>
      <c r="E4" s="20" t="s">
        <v>249</v>
      </c>
    </row>
    <row r="5" customFormat="false" ht="15" hidden="false" customHeight="false" outlineLevel="0" collapsed="false">
      <c r="A5" s="21"/>
      <c r="B5" s="22" t="s">
        <v>250</v>
      </c>
      <c r="C5" s="22"/>
      <c r="D5" s="22"/>
      <c r="E5" s="22"/>
    </row>
    <row r="6" customFormat="false" ht="30" hidden="false" customHeight="true" outlineLevel="0" collapsed="false">
      <c r="A6" s="6" t="n">
        <v>1</v>
      </c>
      <c r="B6" s="7" t="s">
        <v>251</v>
      </c>
      <c r="C6" s="8" t="s">
        <v>252</v>
      </c>
      <c r="D6" s="7" t="s">
        <v>253</v>
      </c>
      <c r="E6" s="8" t="s">
        <v>254</v>
      </c>
    </row>
    <row r="7" customFormat="false" ht="30" hidden="false" customHeight="true" outlineLevel="0" collapsed="false">
      <c r="A7" s="6" t="n">
        <v>2</v>
      </c>
      <c r="B7" s="7" t="s">
        <v>255</v>
      </c>
      <c r="C7" s="8" t="s">
        <v>256</v>
      </c>
      <c r="D7" s="7" t="s">
        <v>253</v>
      </c>
      <c r="E7" s="7"/>
    </row>
    <row r="8" customFormat="false" ht="30" hidden="false" customHeight="true" outlineLevel="0" collapsed="false">
      <c r="A8" s="6" t="n">
        <v>3</v>
      </c>
      <c r="B8" s="7" t="s">
        <v>257</v>
      </c>
      <c r="C8" s="8" t="s">
        <v>258</v>
      </c>
      <c r="D8" s="7" t="s">
        <v>253</v>
      </c>
      <c r="E8" s="7"/>
    </row>
    <row r="9" customFormat="false" ht="30" hidden="false" customHeight="true" outlineLevel="0" collapsed="false">
      <c r="A9" s="6" t="n">
        <v>4</v>
      </c>
      <c r="B9" s="7" t="s">
        <v>259</v>
      </c>
      <c r="C9" s="8" t="s">
        <v>260</v>
      </c>
      <c r="D9" s="7" t="s">
        <v>261</v>
      </c>
      <c r="E9" s="8" t="s">
        <v>262</v>
      </c>
    </row>
    <row r="10" customFormat="false" ht="30" hidden="false" customHeight="true" outlineLevel="0" collapsed="false">
      <c r="A10" s="6" t="n">
        <v>5</v>
      </c>
      <c r="B10" s="7" t="s">
        <v>263</v>
      </c>
      <c r="C10" s="8" t="s">
        <v>264</v>
      </c>
      <c r="D10" s="7" t="s">
        <v>261</v>
      </c>
      <c r="E10" s="8" t="s">
        <v>265</v>
      </c>
    </row>
    <row r="11" customFormat="false" ht="30" hidden="false" customHeight="true" outlineLevel="0" collapsed="false">
      <c r="A11" s="6" t="n">
        <v>6</v>
      </c>
      <c r="B11" s="7" t="s">
        <v>266</v>
      </c>
      <c r="C11" s="8" t="s">
        <v>267</v>
      </c>
      <c r="D11" s="7" t="s">
        <v>268</v>
      </c>
      <c r="E11" s="8" t="s">
        <v>269</v>
      </c>
    </row>
    <row r="12" customFormat="false" ht="30" hidden="false" customHeight="true" outlineLevel="0" collapsed="false">
      <c r="A12" s="6" t="n">
        <v>7</v>
      </c>
      <c r="B12" s="7" t="s">
        <v>270</v>
      </c>
      <c r="C12" s="8" t="s">
        <v>271</v>
      </c>
      <c r="D12" s="7" t="s">
        <v>272</v>
      </c>
      <c r="E12" s="8" t="s">
        <v>273</v>
      </c>
    </row>
    <row r="13" customFormat="false" ht="30" hidden="false" customHeight="true" outlineLevel="0" collapsed="false">
      <c r="A13" s="6" t="n">
        <v>8</v>
      </c>
      <c r="B13" s="7" t="s">
        <v>274</v>
      </c>
      <c r="C13" s="8" t="s">
        <v>275</v>
      </c>
      <c r="D13" s="7" t="s">
        <v>276</v>
      </c>
      <c r="E13" s="8" t="s">
        <v>277</v>
      </c>
    </row>
    <row r="14" customFormat="false" ht="30" hidden="false" customHeight="true" outlineLevel="0" collapsed="false">
      <c r="A14" s="6" t="n">
        <v>9</v>
      </c>
      <c r="B14" s="7" t="s">
        <v>278</v>
      </c>
      <c r="C14" s="8" t="s">
        <v>279</v>
      </c>
      <c r="D14" s="7" t="s">
        <v>280</v>
      </c>
      <c r="E14" s="8" t="s">
        <v>281</v>
      </c>
    </row>
    <row r="15" customFormat="false" ht="15" hidden="false" customHeight="false" outlineLevel="0" collapsed="false">
      <c r="A15" s="21"/>
      <c r="B15" s="22" t="s">
        <v>282</v>
      </c>
      <c r="C15" s="22"/>
      <c r="D15" s="22"/>
      <c r="E15" s="22"/>
    </row>
    <row r="16" customFormat="false" ht="30" hidden="false" customHeight="true" outlineLevel="0" collapsed="false">
      <c r="A16" s="6" t="n">
        <v>10</v>
      </c>
      <c r="B16" s="7" t="s">
        <v>283</v>
      </c>
      <c r="C16" s="8" t="s">
        <v>284</v>
      </c>
      <c r="D16" s="7" t="s">
        <v>285</v>
      </c>
      <c r="E16" s="7" t="s">
        <v>286</v>
      </c>
    </row>
    <row r="17" customFormat="false" ht="30" hidden="false" customHeight="true" outlineLevel="0" collapsed="false">
      <c r="A17" s="6" t="n">
        <v>11</v>
      </c>
      <c r="B17" s="7" t="s">
        <v>287</v>
      </c>
      <c r="C17" s="7" t="s">
        <v>288</v>
      </c>
      <c r="D17" s="7" t="s">
        <v>289</v>
      </c>
      <c r="E17" s="8" t="s">
        <v>290</v>
      </c>
    </row>
    <row r="18" customFormat="false" ht="15" hidden="false" customHeight="false" outlineLevel="0" collapsed="false">
      <c r="A18" s="21"/>
      <c r="B18" s="22" t="s">
        <v>291</v>
      </c>
      <c r="C18" s="22"/>
      <c r="D18" s="22"/>
      <c r="E18" s="22"/>
    </row>
    <row r="19" customFormat="false" ht="30" hidden="false" customHeight="true" outlineLevel="0" collapsed="false">
      <c r="A19" s="6" t="n">
        <v>12</v>
      </c>
      <c r="B19" s="7" t="s">
        <v>292</v>
      </c>
      <c r="C19" s="8" t="s">
        <v>293</v>
      </c>
      <c r="D19" s="7" t="s">
        <v>294</v>
      </c>
      <c r="E19" s="8" t="s">
        <v>295</v>
      </c>
    </row>
    <row r="20" customFormat="false" ht="30" hidden="false" customHeight="true" outlineLevel="0" collapsed="false">
      <c r="A20" s="6" t="n">
        <v>13</v>
      </c>
      <c r="B20" s="8" t="s">
        <v>296</v>
      </c>
      <c r="C20" s="8" t="s">
        <v>297</v>
      </c>
      <c r="D20" s="7" t="s">
        <v>298</v>
      </c>
      <c r="E20" s="8" t="s">
        <v>299</v>
      </c>
    </row>
  </sheetData>
  <mergeCells count="5">
    <mergeCell ref="A1:E1"/>
    <mergeCell ref="A2:E2"/>
    <mergeCell ref="B5:E5"/>
    <mergeCell ref="B15:E15"/>
    <mergeCell ref="B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2026-09-11T02:48:31Z</dcterms:created>
  <dc:creator>openpyxl</dc:creator>
  <dc:description/>
  <dc:language>en-US</dc:language>
  <cp:lastModifiedBy/>
  <dcterms:modified xsi:type="dcterms:W3CDTF">2026-09-11T02:48:32Z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