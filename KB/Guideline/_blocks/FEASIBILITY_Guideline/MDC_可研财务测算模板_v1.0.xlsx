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ADME" sheetId="1" state="visible" r:id="rId3"/>
    <sheet name="00_指标表" sheetId="2" state="visible" r:id="rId4"/>
    <sheet name="0_参数" sheetId="3" state="visible" r:id="rId5"/>
    <sheet name="1_总投资估算" sheetId="4" state="visible" r:id="rId6"/>
    <sheet name="1-1_建安工程费" sheetId="5" state="visible" r:id="rId7"/>
    <sheet name="1-2_设备及软件" sheetId="6" state="visible" r:id="rId8"/>
    <sheet name="2_流动资金" sheetId="7" state="visible" r:id="rId9"/>
    <sheet name="3_资金筹措" sheetId="8" state="visible" r:id="rId10"/>
    <sheet name="4_总成本费用" sheetId="9" state="visible" r:id="rId11"/>
    <sheet name="5_折旧摊销" sheetId="10" state="visible" r:id="rId12"/>
    <sheet name="6_收入税金" sheetId="11" state="visible" r:id="rId13"/>
    <sheet name="7_利润" sheetId="12" state="visible" r:id="rId14"/>
    <sheet name="8_现金流量" sheetId="13" state="visible" r:id="rId15"/>
    <sheet name="9_财务计划现金流量" sheetId="14" state="visible" r:id="rId16"/>
    <sheet name="10_资产负债" sheetId="15" state="visible" r:id="rId17"/>
    <sheet name="11_还本付息" sheetId="16" state="visible" r:id="rId18"/>
    <sheet name="12_敏感性" sheetId="17" state="visible" r:id="rId19"/>
    <sheet name="13_一致性校核" sheetId="18" state="visible" r:id="rId2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<sst xmlns="http://schemas.openxmlformats.org/spreadsheetml/2006/main" count="1613" uniqueCount="900">
  <si>
    <r>
      <rPr>
        <b val="true"/>
        <sz val="14"/>
        <rFont val="Arial"/>
        <family val="0"/>
        <charset val="1"/>
      </rPr>
      <t xml:space="preserve">MDC </t>
    </r>
    <r>
      <rPr>
        <b val="true"/>
        <sz val="14"/>
        <rFont val="Noto Sans CJK SC"/>
        <family val="2"/>
      </rPr>
      <t xml:space="preserve">模块化数据中心 </t>
    </r>
    <r>
      <rPr>
        <b val="true"/>
        <sz val="14"/>
        <rFont val="Arial"/>
        <family val="0"/>
        <charset val="1"/>
      </rPr>
      <t xml:space="preserve">· </t>
    </r>
    <r>
      <rPr>
        <b val="true"/>
        <sz val="14"/>
        <rFont val="Noto Sans CJK SC"/>
        <family val="2"/>
      </rPr>
      <t xml:space="preserve">国内项目可研财务测算模板 </t>
    </r>
    <r>
      <rPr>
        <b val="true"/>
        <sz val="14"/>
        <rFont val="Arial"/>
        <family val="0"/>
        <charset val="1"/>
      </rPr>
      <t xml:space="preserve">v1.0</t>
    </r>
    <r>
      <rPr>
        <b val="true"/>
        <sz val="14"/>
        <rFont val="Noto Sans CJK SC"/>
        <family val="2"/>
      </rPr>
      <t xml:space="preserve">（</t>
    </r>
    <r>
      <rPr>
        <b val="true"/>
        <sz val="14"/>
        <rFont val="Arial"/>
        <family val="0"/>
        <charset val="1"/>
      </rPr>
      <t xml:space="preserve">2026-09-16</t>
    </r>
    <r>
      <rPr>
        <b val="true"/>
        <sz val="14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</si>
  <si>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配套 </t>
    </r>
    <r>
      <rPr>
        <sz val="10"/>
        <rFont val="Arial"/>
        <family val="0"/>
        <charset val="1"/>
      </rPr>
      <t xml:space="preserve">MDC-KB `KB/Guideline/FEASIBILITY_Guideline.md` §F-2 </t>
    </r>
    <r>
      <rPr>
        <sz val="10"/>
        <rFont val="Noto Sans CJK SC"/>
        <family val="2"/>
      </rPr>
      <t xml:space="preserve">第 </t>
    </r>
    <r>
      <rPr>
        <sz val="10"/>
        <rFont val="Arial"/>
        <family val="0"/>
        <charset val="1"/>
      </rPr>
      <t xml:space="preserve">6 </t>
    </r>
    <r>
      <rPr>
        <sz val="10"/>
        <rFont val="Noto Sans CJK SC"/>
        <family val="2"/>
      </rPr>
      <t xml:space="preserve">章 </t>
    </r>
    <r>
      <rPr>
        <sz val="10"/>
        <rFont val="Arial"/>
        <family val="0"/>
        <charset val="1"/>
      </rPr>
      <t xml:space="preserve">/ §F-4 / §F-7</t>
    </r>
    <r>
      <rPr>
        <sz val="10"/>
        <rFont val="Noto Sans CJK SC"/>
        <family val="2"/>
      </rPr>
      <t xml:space="preserve">。每个国内可研复制本工作簿到 </t>
    </r>
    <r>
      <rPr>
        <sz val="10"/>
        <rFont val="Arial"/>
        <family val="0"/>
        <charset val="1"/>
      </rPr>
      <t xml:space="preserve">`Projects/&lt;</t>
    </r>
    <r>
      <rPr>
        <sz val="10"/>
        <rFont val="Noto Sans CJK SC"/>
        <family val="2"/>
      </rPr>
      <t xml:space="preserve">项目名</t>
    </r>
    <r>
      <rPr>
        <sz val="10"/>
        <rFont val="Arial"/>
        <family val="0"/>
        <charset val="1"/>
      </rPr>
      <t xml:space="preserve">&gt;/</t>
    </r>
    <r>
      <rPr>
        <sz val="10"/>
        <rFont val="Noto Sans CJK SC"/>
        <family val="2"/>
      </rPr>
      <t xml:space="preserve">可研</t>
    </r>
    <r>
      <rPr>
        <sz val="10"/>
        <rFont val="Arial"/>
        <family val="0"/>
        <charset val="1"/>
      </rPr>
      <t xml:space="preserve">/`</t>
    </r>
    <r>
      <rPr>
        <sz val="10"/>
        <rFont val="Noto Sans CJK SC"/>
        <family val="2"/>
      </rPr>
      <t xml:space="preserve">，重命名为 </t>
    </r>
    <r>
      <rPr>
        <sz val="10"/>
        <rFont val="Arial"/>
        <family val="0"/>
        <charset val="1"/>
      </rPr>
      <t xml:space="preserve">`&lt;</t>
    </r>
    <r>
      <rPr>
        <sz val="10"/>
        <rFont val="Noto Sans CJK SC"/>
        <family val="2"/>
      </rPr>
      <t xml:space="preserve">项目名</t>
    </r>
    <r>
      <rPr>
        <sz val="10"/>
        <rFont val="Arial"/>
        <family val="0"/>
        <charset val="1"/>
      </rPr>
      <t xml:space="preserve">&gt;_</t>
    </r>
    <r>
      <rPr>
        <sz val="10"/>
        <rFont val="Noto Sans CJK SC"/>
        <family val="2"/>
      </rPr>
      <t xml:space="preserve">可研财务测算</t>
    </r>
    <r>
      <rPr>
        <sz val="10"/>
        <rFont val="Arial"/>
        <family val="0"/>
        <charset val="1"/>
      </rPr>
      <t xml:space="preserve">_v&lt;x&gt;.xlsx`</t>
    </r>
    <r>
      <rPr>
        <sz val="10"/>
        <rFont val="Noto Sans CJK SC"/>
        <family val="2"/>
      </rPr>
      <t xml:space="preserve">。</t>
    </r>
  </si>
  <si>
    <t xml:space="preserve">铁律</t>
  </si>
  <si>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货币与税口径：国内方案一律人民币（含税）；海外方案一律美元（未税）。本模板为国内版，所有单价按含税输入，模型内按税率还原不含税值参与经济评价；校核 </t>
    </r>
    <r>
      <rPr>
        <sz val="10"/>
        <rFont val="Arial"/>
        <family val="0"/>
        <charset val="1"/>
      </rPr>
      <t xml:space="preserve">C10 </t>
    </r>
    <r>
      <rPr>
        <sz val="10"/>
        <rFont val="Noto Sans CJK SC"/>
        <family val="2"/>
      </rPr>
      <t xml:space="preserve">锁定。</t>
    </r>
  </si>
  <si>
    <r>
      <rPr>
        <sz val="10"/>
        <rFont val="Arial"/>
        <family val="0"/>
        <charset val="1"/>
      </rPr>
      <t xml:space="preserve">2. </t>
    </r>
    <r>
      <rPr>
        <sz val="10"/>
        <rFont val="Noto Sans CJK SC"/>
        <family val="2"/>
      </rPr>
      <t xml:space="preserve">单一真值源：所有输入只在 </t>
    </r>
    <r>
      <rPr>
        <sz val="10"/>
        <rFont val="Arial"/>
        <family val="0"/>
        <charset val="1"/>
      </rPr>
      <t xml:space="preserve">`0_</t>
    </r>
    <r>
      <rPr>
        <sz val="10"/>
        <rFont val="Noto Sans CJK SC"/>
        <family val="2"/>
      </rPr>
      <t xml:space="preserve">参数</t>
    </r>
    <r>
      <rPr>
        <sz val="10"/>
        <rFont val="Arial"/>
        <family val="0"/>
        <charset val="1"/>
      </rPr>
      <t xml:space="preserve">`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`1-1_</t>
    </r>
    <r>
      <rPr>
        <sz val="10"/>
        <rFont val="Noto Sans CJK SC"/>
        <family val="2"/>
      </rPr>
      <t xml:space="preserve">建安工程费</t>
    </r>
    <r>
      <rPr>
        <sz val="10"/>
        <rFont val="Arial"/>
        <family val="0"/>
        <charset val="1"/>
      </rPr>
      <t xml:space="preserve">`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`1-2_</t>
    </r>
    <r>
      <rPr>
        <sz val="10"/>
        <rFont val="Noto Sans CJK SC"/>
        <family val="2"/>
      </rPr>
      <t xml:space="preserve">设备及软件</t>
    </r>
    <r>
      <rPr>
        <sz val="10"/>
        <rFont val="Arial"/>
        <family val="0"/>
        <charset val="1"/>
      </rPr>
      <t xml:space="preserve">` </t>
    </r>
    <r>
      <rPr>
        <sz val="10"/>
        <rFont val="Noto Sans CJK SC"/>
        <family val="2"/>
      </rPr>
      <t xml:space="preserve">三页的蓝字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黄底单元格；其余全部公式，不得手改。可研正文数字只准从 </t>
    </r>
    <r>
      <rPr>
        <sz val="10"/>
        <rFont val="Arial"/>
        <family val="0"/>
        <charset val="1"/>
      </rPr>
      <t xml:space="preserve">`00_</t>
    </r>
    <r>
      <rPr>
        <sz val="10"/>
        <rFont val="Noto Sans CJK SC"/>
        <family val="2"/>
      </rPr>
      <t xml:space="preserve">指标表</t>
    </r>
    <r>
      <rPr>
        <sz val="10"/>
        <rFont val="Arial"/>
        <family val="0"/>
        <charset val="1"/>
      </rPr>
      <t xml:space="preserve">` </t>
    </r>
    <r>
      <rPr>
        <sz val="10"/>
        <rFont val="Noto Sans CJK SC"/>
        <family val="2"/>
      </rPr>
      <t xml:space="preserve">与对应附表引用。</t>
    </r>
  </si>
  <si>
    <r>
      <rPr>
        <sz val="10"/>
        <rFont val="Arial"/>
        <family val="0"/>
        <charset val="1"/>
      </rPr>
      <t xml:space="preserve">3. </t>
    </r>
    <r>
      <rPr>
        <sz val="10"/>
        <rFont val="Noto Sans CJK SC"/>
        <family val="2"/>
      </rPr>
      <t xml:space="preserve">业主参数：黄底单元格（</t>
    </r>
    <r>
      <rPr>
        <sz val="10"/>
        <rFont val="Arial"/>
        <family val="0"/>
        <charset val="1"/>
      </rPr>
      <t xml:space="preserve">GPU/</t>
    </r>
    <r>
      <rPr>
        <sz val="10"/>
        <rFont val="Noto Sans CJK SC"/>
        <family val="2"/>
      </rPr>
      <t xml:space="preserve">服务器单价、算力单价、售卖比例、算力设备折旧年限等）由业主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算力运营方书面提供，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来源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说明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列注明依据文件；我方不自行给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报价。</t>
    </r>
  </si>
  <si>
    <r>
      <rPr>
        <sz val="10"/>
        <rFont val="Arial"/>
        <family val="0"/>
        <charset val="1"/>
      </rPr>
      <t xml:space="preserve">4. </t>
    </r>
    <r>
      <rPr>
        <sz val="10"/>
        <rFont val="Noto Sans CJK SC"/>
        <family val="2"/>
      </rPr>
      <t xml:space="preserve">出稿门禁：</t>
    </r>
    <r>
      <rPr>
        <sz val="10"/>
        <rFont val="Arial"/>
        <family val="0"/>
        <charset val="1"/>
      </rPr>
      <t xml:space="preserve">`13_</t>
    </r>
    <r>
      <rPr>
        <sz val="10"/>
        <rFont val="Noto Sans CJK SC"/>
        <family val="2"/>
      </rPr>
      <t xml:space="preserve">一致性校核</t>
    </r>
    <r>
      <rPr>
        <sz val="10"/>
        <rFont val="Arial"/>
        <family val="0"/>
        <charset val="1"/>
      </rPr>
      <t xml:space="preserve">` </t>
    </r>
    <r>
      <rPr>
        <sz val="10"/>
        <rFont val="Noto Sans CJK SC"/>
        <family val="2"/>
      </rPr>
      <t xml:space="preserve">全部 </t>
    </r>
    <r>
      <rPr>
        <sz val="10"/>
        <rFont val="Arial"/>
        <family val="0"/>
        <charset val="1"/>
      </rPr>
      <t xml:space="preserve">OK </t>
    </r>
    <r>
      <rPr>
        <sz val="10"/>
        <rFont val="Noto Sans CJK SC"/>
        <family val="2"/>
      </rPr>
      <t xml:space="preserve">才可导出附表；任何 </t>
    </r>
    <r>
      <rPr>
        <sz val="10"/>
        <rFont val="Arial"/>
        <family val="0"/>
        <charset val="1"/>
      </rPr>
      <t xml:space="preserve">ERR </t>
    </r>
    <r>
      <rPr>
        <sz val="10"/>
        <rFont val="Noto Sans CJK SC"/>
        <family val="2"/>
      </rPr>
      <t xml:space="preserve">先改方案与参数，不得改公式凑数。</t>
    </r>
  </si>
  <si>
    <t xml:space="preserve">颜色约定</t>
  </si>
  <si>
    <r>
      <rPr>
        <sz val="10"/>
        <rFont val="Noto Sans CJK SC"/>
        <family val="2"/>
      </rPr>
      <t xml:space="preserve">蓝字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输入；黄底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业主提供；黑字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本表公式；绿字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跨表引用；灰底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表头；浅绿底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关键结果。</t>
    </r>
  </si>
  <si>
    <t xml:space="preserve">填写顺序</t>
  </si>
  <si>
    <r>
      <rPr>
        <sz val="10"/>
        <rFont val="Arial"/>
        <family val="0"/>
        <charset val="1"/>
      </rPr>
      <t xml:space="preserve">① 0_</t>
    </r>
    <r>
      <rPr>
        <sz val="10"/>
        <rFont val="Noto Sans CJK SC"/>
        <family val="2"/>
      </rPr>
      <t xml:space="preserve">参数 </t>
    </r>
    <r>
      <rPr>
        <sz val="10"/>
        <rFont val="Arial"/>
        <family val="0"/>
        <charset val="1"/>
      </rPr>
      <t xml:space="preserve">A–K </t>
    </r>
    <r>
      <rPr>
        <sz val="10"/>
        <rFont val="Noto Sans CJK SC"/>
        <family val="2"/>
      </rPr>
      <t xml:space="preserve">组（规模 → 负荷 → 收入 → 成本 → 折旧 → 税 → 融资 → 流动资金 → 费率 → 运营年参数） → ② </t>
    </r>
    <r>
      <rPr>
        <sz val="10"/>
        <rFont val="Arial"/>
        <family val="0"/>
        <charset val="1"/>
      </rPr>
      <t xml:space="preserve">1-2 </t>
    </r>
    <r>
      <rPr>
        <sz val="10"/>
        <rFont val="Noto Sans CJK SC"/>
        <family val="2"/>
      </rPr>
      <t xml:space="preserve">设备及软件（</t>
    </r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块业主价格、</t>
    </r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</rPr>
      <t xml:space="preserve">块我方口径） → ③ </t>
    </r>
    <r>
      <rPr>
        <sz val="10"/>
        <rFont val="Arial"/>
        <family val="0"/>
        <charset val="1"/>
      </rPr>
      <t xml:space="preserve">1-1 </t>
    </r>
    <r>
      <rPr>
        <sz val="10"/>
        <rFont val="Noto Sans CJK SC"/>
        <family val="2"/>
      </rPr>
      <t xml:space="preserve">建安工程费 → ④ 看 </t>
    </r>
    <r>
      <rPr>
        <sz val="10"/>
        <rFont val="Arial"/>
        <family val="0"/>
        <charset val="1"/>
      </rPr>
      <t xml:space="preserve">13_</t>
    </r>
    <r>
      <rPr>
        <sz val="10"/>
        <rFont val="Noto Sans CJK SC"/>
        <family val="2"/>
      </rPr>
      <t xml:space="preserve">一致性校核 → ⑤ 看 </t>
    </r>
    <r>
      <rPr>
        <sz val="10"/>
        <rFont val="Arial"/>
        <family val="0"/>
        <charset val="1"/>
      </rPr>
      <t xml:space="preserve">00_</t>
    </r>
    <r>
      <rPr>
        <sz val="10"/>
        <rFont val="Noto Sans CJK SC"/>
        <family val="2"/>
      </rPr>
      <t xml:space="preserve">指标表 → ⑥ </t>
    </r>
    <r>
      <rPr>
        <sz val="10"/>
        <rFont val="Arial"/>
        <family val="0"/>
        <charset val="1"/>
      </rPr>
      <t xml:space="preserve">12_</t>
    </r>
    <r>
      <rPr>
        <sz val="10"/>
        <rFont val="Noto Sans CJK SC"/>
        <family val="2"/>
      </rPr>
      <t xml:space="preserve">敏感性（</t>
    </r>
    <r>
      <rPr>
        <sz val="10"/>
        <rFont val="Arial"/>
        <family val="0"/>
        <charset val="1"/>
      </rPr>
      <t xml:space="preserve">Excel </t>
    </r>
    <r>
      <rPr>
        <sz val="10"/>
        <rFont val="Noto Sans CJK SC"/>
        <family val="2"/>
      </rPr>
      <t xml:space="preserve">中按 </t>
    </r>
    <r>
      <rPr>
        <sz val="10"/>
        <rFont val="Arial"/>
        <family val="0"/>
        <charset val="1"/>
      </rPr>
      <t xml:space="preserve">F9 </t>
    </r>
    <r>
      <rPr>
        <sz val="10"/>
        <rFont val="Noto Sans CJK SC"/>
        <family val="2"/>
      </rPr>
      <t xml:space="preserve">重算数据表） → ⑦ 附表 </t>
    </r>
    <r>
      <rPr>
        <sz val="10"/>
        <rFont val="Arial"/>
        <family val="0"/>
        <charset val="1"/>
      </rPr>
      <t xml:space="preserve">1–12 </t>
    </r>
    <r>
      <rPr>
        <sz val="10"/>
        <rFont val="Noto Sans CJK SC"/>
        <family val="2"/>
      </rPr>
      <t xml:space="preserve">导出 </t>
    </r>
    <r>
      <rPr>
        <sz val="10"/>
        <rFont val="Arial"/>
        <family val="0"/>
        <charset val="1"/>
      </rPr>
      <t xml:space="preserve">PDF </t>
    </r>
    <r>
      <rPr>
        <sz val="10"/>
        <rFont val="Noto Sans CJK SC"/>
        <family val="2"/>
      </rPr>
      <t xml:space="preserve">附于可研。</t>
    </r>
  </si>
  <si>
    <t xml:space="preserve">附表与可研章节对应</t>
  </si>
  <si>
    <r>
      <rPr>
        <sz val="10"/>
        <rFont val="Arial"/>
        <family val="0"/>
        <charset val="1"/>
      </rPr>
      <t xml:space="preserve">00_</t>
    </r>
    <r>
      <rPr>
        <sz val="10"/>
        <rFont val="Noto Sans CJK SC"/>
        <family val="2"/>
      </rPr>
      <t xml:space="preserve">指标表 → 可研 </t>
    </r>
    <r>
      <rPr>
        <sz val="10"/>
        <rFont val="Arial"/>
        <family val="0"/>
        <charset val="1"/>
      </rPr>
      <t xml:space="preserve">1.1.10 / 1.4 / 9.1 </t>
    </r>
    <r>
      <rPr>
        <sz val="10"/>
        <rFont val="Noto Sans CJK SC"/>
        <family val="2"/>
      </rPr>
      <t xml:space="preserve">｜ </t>
    </r>
    <r>
      <rPr>
        <sz val="10"/>
        <rFont val="Arial"/>
        <family val="0"/>
        <charset val="1"/>
      </rPr>
      <t xml:space="preserve">0_</t>
    </r>
    <r>
      <rPr>
        <sz val="10"/>
        <rFont val="Noto Sans CJK SC"/>
        <family val="2"/>
      </rPr>
      <t xml:space="preserve">参数 </t>
    </r>
    <r>
      <rPr>
        <sz val="10"/>
        <rFont val="Arial"/>
        <family val="0"/>
        <charset val="1"/>
      </rPr>
      <t xml:space="preserve">C </t>
    </r>
    <r>
      <rPr>
        <sz val="10"/>
        <rFont val="Noto Sans CJK SC"/>
        <family val="2"/>
      </rPr>
      <t xml:space="preserve">组 → </t>
    </r>
    <r>
      <rPr>
        <sz val="10"/>
        <rFont val="Arial"/>
        <family val="0"/>
        <charset val="1"/>
      </rPr>
      <t xml:space="preserve">4.3.6 </t>
    </r>
    <r>
      <rPr>
        <sz val="10"/>
        <rFont val="Noto Sans CJK SC"/>
        <family val="2"/>
      </rPr>
      <t xml:space="preserve">负荷计算、</t>
    </r>
    <r>
      <rPr>
        <sz val="10"/>
        <rFont val="Arial"/>
        <family val="0"/>
        <charset val="1"/>
      </rPr>
      <t xml:space="preserve">7.4 </t>
    </r>
    <r>
      <rPr>
        <sz val="10"/>
        <rFont val="Noto Sans CJK SC"/>
        <family val="2"/>
      </rPr>
      <t xml:space="preserve">能耗与 </t>
    </r>
    <r>
      <rPr>
        <sz val="10"/>
        <rFont val="Arial"/>
        <family val="0"/>
        <charset val="1"/>
      </rPr>
      <t xml:space="preserve">PUE/WUE </t>
    </r>
    <r>
      <rPr>
        <sz val="10"/>
        <rFont val="Noto Sans CJK SC"/>
        <family val="2"/>
      </rPr>
      <t xml:space="preserve">｜ 附表 </t>
    </r>
    <r>
      <rPr>
        <sz val="10"/>
        <rFont val="Arial"/>
        <family val="0"/>
        <charset val="1"/>
      </rPr>
      <t xml:space="preserve">1 / 1-1 / 1-2 → 6.1 </t>
    </r>
    <r>
      <rPr>
        <sz val="10"/>
        <rFont val="Noto Sans CJK SC"/>
        <family val="2"/>
      </rPr>
      <t xml:space="preserve">投资估算 ｜ 附表 </t>
    </r>
    <r>
      <rPr>
        <sz val="10"/>
        <rFont val="Arial"/>
        <family val="0"/>
        <charset val="1"/>
      </rPr>
      <t xml:space="preserve">2 → 6.1 </t>
    </r>
    <r>
      <rPr>
        <sz val="10"/>
        <rFont val="Noto Sans CJK SC"/>
        <family val="2"/>
      </rPr>
      <t xml:space="preserve">铺底流动资金 ｜ 附表 </t>
    </r>
    <r>
      <rPr>
        <sz val="10"/>
        <rFont val="Arial"/>
        <family val="0"/>
        <charset val="1"/>
      </rPr>
      <t xml:space="preserve">3 → 6.3 </t>
    </r>
    <r>
      <rPr>
        <sz val="10"/>
        <rFont val="Noto Sans CJK SC"/>
        <family val="2"/>
      </rPr>
      <t xml:space="preserve">融资方案 ｜ 附表 </t>
    </r>
    <r>
      <rPr>
        <sz val="10"/>
        <rFont val="Arial"/>
        <family val="0"/>
        <charset val="1"/>
      </rPr>
      <t xml:space="preserve">4 / 5 → 6.2 </t>
    </r>
    <r>
      <rPr>
        <sz val="10"/>
        <rFont val="Noto Sans CJK SC"/>
        <family val="2"/>
      </rPr>
      <t xml:space="preserve">总成本费用 ｜ 附表 </t>
    </r>
    <r>
      <rPr>
        <sz val="10"/>
        <rFont val="Arial"/>
        <family val="0"/>
        <charset val="1"/>
      </rPr>
      <t xml:space="preserve">6 / 7 → 6.2 </t>
    </r>
    <r>
      <rPr>
        <sz val="10"/>
        <rFont val="Noto Sans CJK SC"/>
        <family val="2"/>
      </rPr>
      <t xml:space="preserve">收入与利润 ｜ 附表 </t>
    </r>
    <r>
      <rPr>
        <sz val="10"/>
        <rFont val="Arial"/>
        <family val="0"/>
        <charset val="1"/>
      </rPr>
      <t xml:space="preserve">8 → 6.2 </t>
    </r>
    <r>
      <rPr>
        <sz val="10"/>
        <rFont val="Noto Sans CJK SC"/>
        <family val="2"/>
      </rPr>
      <t xml:space="preserve">盈利能力（</t>
    </r>
    <r>
      <rPr>
        <sz val="10"/>
        <rFont val="Arial"/>
        <family val="0"/>
        <charset val="1"/>
      </rPr>
      <t xml:space="preserve">IRR/NPV/</t>
    </r>
    <r>
      <rPr>
        <sz val="10"/>
        <rFont val="Noto Sans CJK SC"/>
        <family val="2"/>
      </rPr>
      <t xml:space="preserve">回收期</t>
    </r>
    <r>
      <rPr>
        <sz val="10"/>
        <rFont val="Arial"/>
        <family val="0"/>
        <charset val="1"/>
      </rPr>
      <t xml:space="preserve">/BEP</t>
    </r>
    <r>
      <rPr>
        <sz val="10"/>
        <rFont val="Noto Sans CJK SC"/>
        <family val="2"/>
      </rPr>
      <t xml:space="preserve">）｜ 附表 </t>
    </r>
    <r>
      <rPr>
        <sz val="10"/>
        <rFont val="Arial"/>
        <family val="0"/>
        <charset val="1"/>
      </rPr>
      <t xml:space="preserve">9 / 10 / 11 → 6.4 </t>
    </r>
    <r>
      <rPr>
        <sz val="10"/>
        <rFont val="Noto Sans CJK SC"/>
        <family val="2"/>
      </rPr>
      <t xml:space="preserve">债务清偿 </t>
    </r>
    <r>
      <rPr>
        <sz val="10"/>
        <rFont val="Arial"/>
        <family val="0"/>
        <charset val="1"/>
      </rPr>
      <t xml:space="preserve">/ 6.5 </t>
    </r>
    <r>
      <rPr>
        <sz val="10"/>
        <rFont val="Noto Sans CJK SC"/>
        <family val="2"/>
      </rPr>
      <t xml:space="preserve">财务可持续性 ｜ 附表 </t>
    </r>
    <r>
      <rPr>
        <sz val="10"/>
        <rFont val="Arial"/>
        <family val="0"/>
        <charset val="1"/>
      </rPr>
      <t xml:space="preserve">12 → 6.2 </t>
    </r>
    <r>
      <rPr>
        <sz val="10"/>
        <rFont val="Noto Sans CJK SC"/>
        <family val="2"/>
      </rPr>
      <t xml:space="preserve">敏感性分析（范例缺项，必做）。</t>
    </r>
  </si>
  <si>
    <t xml:space="preserve">模型口径说明</t>
  </si>
  <si>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年份列固定 </t>
    </r>
    <r>
      <rPr>
        <sz val="10"/>
        <rFont val="Arial"/>
        <family val="0"/>
        <charset val="1"/>
      </rPr>
      <t xml:space="preserve">18 </t>
    </r>
    <r>
      <rPr>
        <sz val="10"/>
        <rFont val="Noto Sans CJK SC"/>
        <family val="2"/>
      </rPr>
      <t xml:space="preserve">列（建设期 ≤</t>
    </r>
    <r>
      <rPr>
        <sz val="10"/>
        <rFont val="Arial"/>
        <family val="0"/>
        <charset val="1"/>
      </rPr>
      <t xml:space="preserve">3 + </t>
    </r>
    <r>
      <rPr>
        <sz val="10"/>
        <rFont val="Noto Sans CJK SC"/>
        <family val="2"/>
      </rPr>
      <t xml:space="preserve">运营期 ≤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），由参数 </t>
    </r>
    <r>
      <rPr>
        <sz val="10"/>
        <rFont val="Arial"/>
        <family val="0"/>
        <charset val="1"/>
      </rPr>
      <t xml:space="preserve">A4/A5 </t>
    </r>
    <r>
      <rPr>
        <sz val="10"/>
        <rFont val="Noto Sans CJK SC"/>
        <family val="2"/>
      </rPr>
      <t xml:space="preserve">自动标记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建设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运营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；超出计算期的列为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，不影响 </t>
    </r>
    <r>
      <rPr>
        <sz val="10"/>
        <rFont val="Arial"/>
        <family val="0"/>
        <charset val="1"/>
      </rPr>
      <t xml:space="preserve">IRR/NPV</t>
    </r>
    <r>
      <rPr>
        <sz val="10"/>
        <rFont val="Noto Sans CJK SC"/>
        <family val="2"/>
      </rPr>
      <t xml:space="preserve">。</t>
    </r>
  </si>
  <si>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负荷链：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年电量 </t>
    </r>
    <r>
      <rPr>
        <sz val="10"/>
        <rFont val="Arial"/>
        <family val="0"/>
        <charset val="1"/>
      </rPr>
      <t xml:space="preserve">= IT </t>
    </r>
    <r>
      <rPr>
        <sz val="10"/>
        <rFont val="Noto Sans CJK SC"/>
        <family val="2"/>
      </rPr>
      <t xml:space="preserve">功率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投产比例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售卖比例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负载率 </t>
    </r>
    <r>
      <rPr>
        <sz val="10"/>
        <rFont val="Arial"/>
        <family val="0"/>
        <charset val="1"/>
      </rPr>
      <t xml:space="preserve">× 8760</t>
    </r>
    <r>
      <rPr>
        <sz val="10"/>
        <rFont val="Noto Sans CJK SC"/>
        <family val="2"/>
      </rPr>
      <t xml:space="preserve">；总电量 </t>
    </r>
    <r>
      <rPr>
        <sz val="10"/>
        <rFont val="Arial"/>
        <family val="0"/>
        <charset val="1"/>
      </rPr>
      <t xml:space="preserve">= IT </t>
    </r>
    <r>
      <rPr>
        <sz val="10"/>
        <rFont val="Noto Sans CJK SC"/>
        <family val="2"/>
      </rPr>
      <t xml:space="preserve">电量 </t>
    </r>
    <r>
      <rPr>
        <sz val="10"/>
        <rFont val="Arial"/>
        <family val="0"/>
        <charset val="1"/>
      </rPr>
      <t xml:space="preserve">× PUE + </t>
    </r>
    <r>
      <rPr>
        <sz val="10"/>
        <rFont val="Noto Sans CJK SC"/>
        <family val="2"/>
      </rPr>
      <t xml:space="preserve">配套用房电量。供电章、能评章、电费、碳排放同源。</t>
    </r>
  </si>
  <si>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增值税：销项 − 经营进项 − 期初留抵（固定资产可抵扣进项税）；附加税按实缴增值税计；增值税本身不计入收入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成本与项目现金流。</t>
    </r>
  </si>
  <si>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固定资产原值：直接费（按参数 </t>
    </r>
    <r>
      <rPr>
        <sz val="10"/>
        <rFont val="Arial"/>
        <family val="0"/>
        <charset val="1"/>
      </rPr>
      <t xml:space="preserve">F6 </t>
    </r>
    <r>
      <rPr>
        <sz val="10"/>
        <rFont val="Noto Sans CJK SC"/>
        <family val="2"/>
      </rPr>
      <t xml:space="preserve">扣减进项税）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其他费用（固定资产类）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预备费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建设期利息，按直接费占比分摊到建筑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基础设施设备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算力设备三类，分层折旧。</t>
    </r>
  </si>
  <si>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建设期利息：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年初本息累计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本年借款</t>
    </r>
    <r>
      <rPr>
        <sz val="10"/>
        <rFont val="Arial"/>
        <family val="0"/>
        <charset val="1"/>
      </rPr>
      <t xml:space="preserve">/2) × </t>
    </r>
    <r>
      <rPr>
        <sz val="10"/>
        <rFont val="Noto Sans CJK SC"/>
        <family val="2"/>
      </rPr>
      <t xml:space="preserve">利率；参数 </t>
    </r>
    <r>
      <rPr>
        <sz val="10"/>
        <rFont val="Arial"/>
        <family val="0"/>
        <charset val="1"/>
      </rPr>
      <t xml:space="preserve">H4 </t>
    </r>
    <r>
      <rPr>
        <sz val="10"/>
        <rFont val="Noto Sans CJK SC"/>
        <family val="2"/>
      </rPr>
      <t xml:space="preserve">选择资本化计入贷款或由资本金支付。运营期等额还本、利息照付。</t>
    </r>
  </si>
  <si>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其他费用费率为简化口径；正式稿如需按累进法精确计取，直接在附表 </t>
    </r>
    <r>
      <rPr>
        <sz val="10"/>
        <rFont val="Arial"/>
        <family val="0"/>
        <charset val="1"/>
      </rPr>
      <t xml:space="preserve">1 F </t>
    </r>
    <r>
      <rPr>
        <sz val="10"/>
        <rFont val="Noto Sans CJK SC"/>
        <family val="2"/>
      </rPr>
      <t xml:space="preserve">列改为金额（蓝字）并在 </t>
    </r>
    <r>
      <rPr>
        <sz val="10"/>
        <rFont val="Arial"/>
        <family val="0"/>
        <charset val="1"/>
      </rPr>
      <t xml:space="preserve">I </t>
    </r>
    <r>
      <rPr>
        <sz val="10"/>
        <rFont val="Noto Sans CJK SC"/>
        <family val="2"/>
      </rPr>
      <t xml:space="preserve">列注明。</t>
    </r>
  </si>
  <si>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敏感性：</t>
    </r>
    <r>
      <rPr>
        <sz val="10"/>
        <rFont val="Arial"/>
        <family val="0"/>
        <charset val="1"/>
      </rPr>
      <t xml:space="preserve">`12_</t>
    </r>
    <r>
      <rPr>
        <sz val="10"/>
        <rFont val="Noto Sans CJK SC"/>
        <family val="2"/>
      </rPr>
      <t xml:space="preserve">敏感性</t>
    </r>
    <r>
      <rPr>
        <sz val="10"/>
        <rFont val="Arial"/>
        <family val="0"/>
        <charset val="1"/>
      </rPr>
      <t xml:space="preserve">` </t>
    </r>
    <r>
      <rPr>
        <sz val="10"/>
        <rFont val="Noto Sans CJK SC"/>
        <family val="2"/>
      </rPr>
      <t xml:space="preserve">用 </t>
    </r>
    <r>
      <rPr>
        <sz val="10"/>
        <rFont val="Arial"/>
        <family val="0"/>
        <charset val="1"/>
      </rPr>
      <t xml:space="preserve">Excel </t>
    </r>
    <r>
      <rPr>
        <sz val="10"/>
        <rFont val="Noto Sans CJK SC"/>
        <family val="2"/>
      </rPr>
      <t xml:space="preserve">数据表实现，五因素 </t>
    </r>
    <r>
      <rPr>
        <sz val="10"/>
        <rFont val="Arial"/>
        <family val="0"/>
        <charset val="1"/>
      </rPr>
      <t xml:space="preserve">±10/20%</t>
    </r>
    <r>
      <rPr>
        <sz val="10"/>
        <rFont val="Noto Sans CJK SC"/>
        <family val="2"/>
      </rPr>
      <t xml:space="preserve">；不要用 </t>
    </r>
    <r>
      <rPr>
        <sz val="10"/>
        <rFont val="Arial"/>
        <family val="0"/>
        <charset val="1"/>
      </rPr>
      <t xml:space="preserve">LibreOffice/WPS </t>
    </r>
    <r>
      <rPr>
        <sz val="10"/>
        <rFont val="Noto Sans CJK SC"/>
        <family val="2"/>
      </rPr>
      <t xml:space="preserve">另存本文件，会把数据表退化为 </t>
    </r>
    <r>
      <rPr>
        <sz val="10"/>
        <rFont val="Arial"/>
        <family val="0"/>
        <charset val="1"/>
      </rPr>
      <t xml:space="preserve">TABLE() </t>
    </r>
    <r>
      <rPr>
        <sz val="10"/>
        <rFont val="Noto Sans CJK SC"/>
        <family val="2"/>
      </rPr>
      <t xml:space="preserve">公式。</t>
    </r>
  </si>
  <si>
    <t xml:space="preserve">示例数据</t>
  </si>
  <si>
    <r>
      <rPr>
        <b val="true"/>
        <sz val="10"/>
        <color rgb="FFC00000"/>
        <rFont val="Noto Sans CJK SC"/>
        <family val="2"/>
      </rPr>
      <t xml:space="preserve">示例数值参照阳高县智算中心可研（</t>
    </r>
    <r>
      <rPr>
        <b val="true"/>
        <sz val="10"/>
        <color rgb="FFC00000"/>
        <rFont val="Arial"/>
        <family val="0"/>
        <charset val="1"/>
      </rPr>
      <t xml:space="preserve">2026-04</t>
    </r>
    <r>
      <rPr>
        <b val="true"/>
        <sz val="10"/>
        <color rgb="FFC00000"/>
        <rFont val="Noto Sans CJK SC"/>
        <family val="2"/>
      </rPr>
      <t xml:space="preserve">）口径设置，仅示意；新项目逐项替换。示例中模块单价、电力舱、冷源模块价格为占位数字，不代表报价。</t>
    </r>
  </si>
  <si>
    <r>
      <rPr>
        <b val="true"/>
        <sz val="14"/>
        <rFont val="Noto Sans CJK SC"/>
        <family val="2"/>
      </rPr>
      <t xml:space="preserve">可研 </t>
    </r>
    <r>
      <rPr>
        <b val="true"/>
        <sz val="14"/>
        <rFont val="Arial"/>
        <family val="0"/>
        <charset val="1"/>
      </rPr>
      <t xml:space="preserve">1.1.10 </t>
    </r>
    <r>
      <rPr>
        <b val="true"/>
        <sz val="14"/>
        <rFont val="Noto Sans CJK SC"/>
        <family val="2"/>
      </rPr>
      <t xml:space="preserve">主要技术经济指标一览表（正文唯一引用源）</t>
    </r>
  </si>
  <si>
    <t xml:space="preserve">本表全部为公式；可研正文与各章数字只准从本表与对应附表引用，不得另行手填</t>
  </si>
  <si>
    <t xml:space="preserve">序号</t>
  </si>
  <si>
    <t xml:space="preserve">指标</t>
  </si>
  <si>
    <t xml:space="preserve">单位</t>
  </si>
  <si>
    <t xml:space="preserve">数值</t>
  </si>
  <si>
    <r>
      <rPr>
        <b val="true"/>
        <sz val="10"/>
        <rFont val="Noto Sans CJK SC"/>
        <family val="2"/>
      </rPr>
      <t xml:space="preserve">备注 </t>
    </r>
    <r>
      <rPr>
        <b val="true"/>
        <sz val="10"/>
        <rFont val="Arial"/>
        <family val="0"/>
        <charset val="1"/>
      </rPr>
      <t xml:space="preserve">/ </t>
    </r>
    <r>
      <rPr>
        <b val="true"/>
        <sz val="10"/>
        <rFont val="Noto Sans CJK SC"/>
        <family val="2"/>
      </rPr>
      <t xml:space="preserve">来源表</t>
    </r>
  </si>
  <si>
    <t xml:space="preserve">1</t>
  </si>
  <si>
    <t xml:space="preserve">建设规模指标</t>
  </si>
  <si>
    <t xml:space="preserve">1.1</t>
  </si>
  <si>
    <t xml:space="preserve">模块化算力单元数量</t>
  </si>
  <si>
    <t xml:space="preserve">套</t>
  </si>
  <si>
    <r>
      <rPr>
        <sz val="10"/>
        <rFont val="Noto Sans CJK SC"/>
        <family val="2"/>
      </rPr>
      <t xml:space="preserve">参数 </t>
    </r>
    <r>
      <rPr>
        <sz val="10"/>
        <rFont val="Arial"/>
        <family val="0"/>
        <charset val="1"/>
      </rPr>
      <t xml:space="preserve">B1</t>
    </r>
  </si>
  <si>
    <t xml:space="preserve">1.2</t>
  </si>
  <si>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总功率</t>
    </r>
  </si>
  <si>
    <t xml:space="preserve">kW</t>
  </si>
  <si>
    <r>
      <rPr>
        <sz val="10"/>
        <rFont val="Noto Sans CJK SC"/>
        <family val="2"/>
      </rPr>
      <t xml:space="preserve">参数 </t>
    </r>
    <r>
      <rPr>
        <sz val="10"/>
        <rFont val="Arial"/>
        <family val="0"/>
        <charset val="1"/>
      </rPr>
      <t xml:space="preserve">B3</t>
    </r>
  </si>
  <si>
    <t xml:space="preserve">1.3</t>
  </si>
  <si>
    <r>
      <rPr>
        <sz val="10"/>
        <rFont val="Noto Sans CJK SC"/>
        <family val="2"/>
      </rPr>
      <t xml:space="preserve">折合标准机架（</t>
    </r>
    <r>
      <rPr>
        <sz val="10"/>
        <rFont val="Arial"/>
        <family val="0"/>
        <charset val="1"/>
      </rPr>
      <t xml:space="preserve">2.5kW</t>
    </r>
    <r>
      <rPr>
        <sz val="10"/>
        <rFont val="Noto Sans CJK SC"/>
        <family val="2"/>
      </rPr>
      <t xml:space="preserve">）</t>
    </r>
  </si>
  <si>
    <t xml:space="preserve">架</t>
  </si>
  <si>
    <r>
      <rPr>
        <sz val="10"/>
        <rFont val="Noto Sans CJK SC"/>
        <family val="2"/>
      </rPr>
      <t xml:space="preserve">参数 </t>
    </r>
    <r>
      <rPr>
        <sz val="10"/>
        <rFont val="Arial"/>
        <family val="0"/>
        <charset val="1"/>
      </rPr>
      <t xml:space="preserve">B5</t>
    </r>
    <r>
      <rPr>
        <sz val="10"/>
        <rFont val="Noto Sans CJK SC"/>
        <family val="2"/>
      </rPr>
      <t xml:space="preserve">；备案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能评口径</t>
    </r>
  </si>
  <si>
    <t xml:space="preserve">1.4</t>
  </si>
  <si>
    <t xml:space="preserve">服务器台数</t>
  </si>
  <si>
    <t xml:space="preserve">台</t>
  </si>
  <si>
    <r>
      <rPr>
        <sz val="10"/>
        <rFont val="Noto Sans CJK SC"/>
        <family val="2"/>
      </rPr>
      <t xml:space="preserve">参数 </t>
    </r>
    <r>
      <rPr>
        <sz val="10"/>
        <rFont val="Arial"/>
        <family val="0"/>
        <charset val="1"/>
      </rPr>
      <t xml:space="preserve">B6</t>
    </r>
    <r>
      <rPr>
        <sz val="10"/>
        <rFont val="Noto Sans CJK SC"/>
        <family val="2"/>
      </rPr>
      <t xml:space="preserve">【业主】</t>
    </r>
  </si>
  <si>
    <t xml:space="preserve">1.5</t>
  </si>
  <si>
    <r>
      <rPr>
        <sz val="10"/>
        <rFont val="Noto Sans CJK SC"/>
        <family val="2"/>
      </rPr>
      <t xml:space="preserve">总算力（</t>
    </r>
    <r>
      <rPr>
        <sz val="10"/>
        <rFont val="Arial"/>
        <family val="0"/>
        <charset val="1"/>
      </rPr>
      <t xml:space="preserve">FP16 </t>
    </r>
    <r>
      <rPr>
        <sz val="10"/>
        <rFont val="Noto Sans CJK SC"/>
        <family val="2"/>
      </rPr>
      <t xml:space="preserve">稠密）</t>
    </r>
  </si>
  <si>
    <t xml:space="preserve">P</t>
  </si>
  <si>
    <r>
      <rPr>
        <sz val="10"/>
        <rFont val="Noto Sans CJK SC"/>
        <family val="2"/>
      </rPr>
      <t xml:space="preserve">参数 </t>
    </r>
    <r>
      <rPr>
        <sz val="10"/>
        <rFont val="Arial"/>
        <family val="0"/>
        <charset val="1"/>
      </rPr>
      <t xml:space="preserve">B8</t>
    </r>
  </si>
  <si>
    <t xml:space="preserve">1.6</t>
  </si>
  <si>
    <t xml:space="preserve">配套用房建筑面积</t>
  </si>
  <si>
    <t xml:space="preserve">㎡</t>
  </si>
  <si>
    <r>
      <rPr>
        <sz val="10"/>
        <rFont val="Noto Sans CJK SC"/>
        <family val="2"/>
      </rPr>
      <t xml:space="preserve">参数 </t>
    </r>
    <r>
      <rPr>
        <sz val="10"/>
        <rFont val="Arial"/>
        <family val="0"/>
        <charset val="1"/>
      </rPr>
      <t xml:space="preserve">C2</t>
    </r>
  </si>
  <si>
    <t xml:space="preserve">2</t>
  </si>
  <si>
    <t xml:space="preserve">能耗与能效</t>
  </si>
  <si>
    <t xml:space="preserve">2.1</t>
  </si>
  <si>
    <t xml:space="preserve">总有功功率</t>
  </si>
  <si>
    <r>
      <rPr>
        <sz val="10"/>
        <rFont val="Noto Sans CJK SC"/>
        <family val="2"/>
      </rPr>
      <t xml:space="preserve">参数 </t>
    </r>
    <r>
      <rPr>
        <sz val="10"/>
        <rFont val="Arial"/>
        <family val="0"/>
        <charset val="1"/>
      </rPr>
      <t xml:space="preserve">C6</t>
    </r>
    <r>
      <rPr>
        <sz val="10"/>
        <rFont val="Noto Sans CJK SC"/>
        <family val="2"/>
      </rPr>
      <t xml:space="preserve">（供电章负荷计算）</t>
    </r>
  </si>
  <si>
    <t xml:space="preserve">2.2</t>
  </si>
  <si>
    <t xml:space="preserve">正常年用电量</t>
  </si>
  <si>
    <r>
      <rPr>
        <sz val="10"/>
        <rFont val="Noto Sans CJK SC"/>
        <family val="2"/>
      </rPr>
      <t xml:space="preserve">万</t>
    </r>
    <r>
      <rPr>
        <sz val="10"/>
        <rFont val="Arial"/>
        <family val="0"/>
        <charset val="1"/>
      </rPr>
      <t xml:space="preserve">kWh</t>
    </r>
  </si>
  <si>
    <r>
      <rPr>
        <sz val="10"/>
        <rFont val="Noto Sans CJK SC"/>
        <family val="2"/>
      </rPr>
      <t xml:space="preserve">附表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；能评章同源</t>
    </r>
  </si>
  <si>
    <t xml:space="preserve">2.3</t>
  </si>
  <si>
    <r>
      <rPr>
        <sz val="10"/>
        <rFont val="Noto Sans CJK SC"/>
        <family val="2"/>
      </rPr>
      <t xml:space="preserve">正常年 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用电量</t>
    </r>
  </si>
  <si>
    <r>
      <rPr>
        <sz val="10"/>
        <rFont val="Noto Sans CJK SC"/>
        <family val="2"/>
      </rPr>
      <t xml:space="preserve">附表 </t>
    </r>
    <r>
      <rPr>
        <sz val="10"/>
        <rFont val="Arial"/>
        <family val="0"/>
        <charset val="1"/>
      </rPr>
      <t xml:space="preserve">4</t>
    </r>
  </si>
  <si>
    <t xml:space="preserve">2.4</t>
  </si>
  <si>
    <r>
      <rPr>
        <sz val="10"/>
        <rFont val="Noto Sans CJK SC"/>
        <family val="2"/>
      </rPr>
      <t xml:space="preserve">设计 </t>
    </r>
    <r>
      <rPr>
        <sz val="10"/>
        <rFont val="Arial"/>
        <family val="0"/>
        <charset val="1"/>
      </rPr>
      <t xml:space="preserve">PUE</t>
    </r>
  </si>
  <si>
    <r>
      <rPr>
        <sz val="10"/>
        <rFont val="Noto Sans CJK SC"/>
        <family val="2"/>
      </rPr>
      <t xml:space="preserve">参数 </t>
    </r>
    <r>
      <rPr>
        <sz val="10"/>
        <rFont val="Arial"/>
        <family val="0"/>
        <charset val="1"/>
      </rPr>
      <t xml:space="preserve">C1</t>
    </r>
  </si>
  <si>
    <t xml:space="preserve">2.5</t>
  </si>
  <si>
    <t xml:space="preserve">正常年用水量</t>
  </si>
  <si>
    <t xml:space="preserve">m³</t>
  </si>
  <si>
    <t xml:space="preserve">2.6</t>
  </si>
  <si>
    <t xml:space="preserve">WUE</t>
  </si>
  <si>
    <t xml:space="preserve">L/kWh</t>
  </si>
  <si>
    <r>
      <rPr>
        <sz val="10"/>
        <rFont val="Noto Sans CJK SC"/>
        <family val="2"/>
      </rPr>
      <t xml:space="preserve">＝ 用水量</t>
    </r>
    <r>
      <rPr>
        <sz val="10"/>
        <rFont val="Arial"/>
        <family val="0"/>
        <charset val="1"/>
      </rPr>
      <t xml:space="preserve">(L) / IT </t>
    </r>
    <r>
      <rPr>
        <sz val="10"/>
        <rFont val="Noto Sans CJK SC"/>
        <family val="2"/>
      </rPr>
      <t xml:space="preserve">电量</t>
    </r>
    <r>
      <rPr>
        <sz val="10"/>
        <rFont val="Arial"/>
        <family val="0"/>
        <charset val="1"/>
      </rPr>
      <t xml:space="preserve">(kWh)</t>
    </r>
  </si>
  <si>
    <t xml:space="preserve">3</t>
  </si>
  <si>
    <t xml:space="preserve">建设与运营</t>
  </si>
  <si>
    <t xml:space="preserve">3.1</t>
  </si>
  <si>
    <t xml:space="preserve">建设期</t>
  </si>
  <si>
    <t xml:space="preserve">年</t>
  </si>
  <si>
    <r>
      <rPr>
        <sz val="10"/>
        <rFont val="Noto Sans CJK SC"/>
        <family val="2"/>
      </rPr>
      <t xml:space="preserve">参数 </t>
    </r>
    <r>
      <rPr>
        <sz val="10"/>
        <rFont val="Arial"/>
        <family val="0"/>
        <charset val="1"/>
      </rPr>
      <t xml:space="preserve">A4</t>
    </r>
  </si>
  <si>
    <t xml:space="preserve">3.2</t>
  </si>
  <si>
    <t xml:space="preserve">运营期</t>
  </si>
  <si>
    <r>
      <rPr>
        <sz val="10"/>
        <rFont val="Noto Sans CJK SC"/>
        <family val="2"/>
      </rPr>
      <t xml:space="preserve">参数 </t>
    </r>
    <r>
      <rPr>
        <sz val="10"/>
        <rFont val="Arial"/>
        <family val="0"/>
        <charset val="1"/>
      </rPr>
      <t xml:space="preserve">A5</t>
    </r>
  </si>
  <si>
    <t xml:space="preserve">3.3</t>
  </si>
  <si>
    <t xml:space="preserve">劳动定员</t>
  </si>
  <si>
    <t xml:space="preserve">人</t>
  </si>
  <si>
    <r>
      <rPr>
        <sz val="10"/>
        <rFont val="Noto Sans CJK SC"/>
        <family val="2"/>
      </rPr>
      <t xml:space="preserve">参数 </t>
    </r>
    <r>
      <rPr>
        <sz val="10"/>
        <rFont val="Arial"/>
        <family val="0"/>
        <charset val="1"/>
      </rPr>
      <t xml:space="preserve">E14 = </t>
    </r>
    <r>
      <rPr>
        <sz val="10"/>
        <rFont val="Noto Sans CJK SC"/>
        <family val="2"/>
      </rPr>
      <t xml:space="preserve">可研 </t>
    </r>
    <r>
      <rPr>
        <sz val="10"/>
        <rFont val="Arial"/>
        <family val="0"/>
        <charset val="1"/>
      </rPr>
      <t xml:space="preserve">5.3.2</t>
    </r>
  </si>
  <si>
    <t xml:space="preserve">4</t>
  </si>
  <si>
    <t xml:space="preserve">投资指标</t>
  </si>
  <si>
    <t xml:space="preserve">4.1</t>
  </si>
  <si>
    <t xml:space="preserve">项目总投资</t>
  </si>
  <si>
    <t xml:space="preserve">万元</t>
  </si>
  <si>
    <r>
      <rPr>
        <sz val="10"/>
        <rFont val="Noto Sans CJK SC"/>
        <family val="2"/>
      </rPr>
      <t xml:space="preserve">附表 </t>
    </r>
    <r>
      <rPr>
        <sz val="10"/>
        <rFont val="Arial"/>
        <family val="0"/>
        <charset val="1"/>
      </rPr>
      <t xml:space="preserve">1</t>
    </r>
  </si>
  <si>
    <t xml:space="preserve">4.1.1</t>
  </si>
  <si>
    <t xml:space="preserve">建设工程费</t>
  </si>
  <si>
    <t xml:space="preserve">4.1.2</t>
  </si>
  <si>
    <t xml:space="preserve">工程建设其他费用</t>
  </si>
  <si>
    <t xml:space="preserve">4.1.3</t>
  </si>
  <si>
    <t xml:space="preserve">预备费</t>
  </si>
  <si>
    <t xml:space="preserve">4.1.4</t>
  </si>
  <si>
    <t xml:space="preserve">建设期利息</t>
  </si>
  <si>
    <r>
      <rPr>
        <sz val="10"/>
        <rFont val="Noto Sans CJK SC"/>
        <family val="2"/>
      </rPr>
      <t xml:space="preserve">附表 </t>
    </r>
    <r>
      <rPr>
        <sz val="10"/>
        <rFont val="Arial"/>
        <family val="0"/>
        <charset val="1"/>
      </rPr>
      <t xml:space="preserve">1 / 11</t>
    </r>
  </si>
  <si>
    <t xml:space="preserve">4.1.5</t>
  </si>
  <si>
    <t xml:space="preserve">铺底流动资金</t>
  </si>
  <si>
    <r>
      <rPr>
        <sz val="10"/>
        <rFont val="Noto Sans CJK SC"/>
        <family val="2"/>
      </rPr>
      <t xml:space="preserve">附表 </t>
    </r>
    <r>
      <rPr>
        <sz val="10"/>
        <rFont val="Arial"/>
        <family val="0"/>
        <charset val="1"/>
      </rPr>
      <t xml:space="preserve">1 / 2</t>
    </r>
  </si>
  <si>
    <t xml:space="preserve">4.2</t>
  </si>
  <si>
    <t xml:space="preserve">其中：算力设备投资（业主提供价格）</t>
  </si>
  <si>
    <r>
      <rPr>
        <sz val="10"/>
        <rFont val="Noto Sans CJK SC"/>
        <family val="2"/>
      </rPr>
      <t xml:space="preserve">附表 </t>
    </r>
    <r>
      <rPr>
        <sz val="10"/>
        <rFont val="Arial"/>
        <family val="0"/>
        <charset val="1"/>
      </rPr>
      <t xml:space="preserve">1-2 A</t>
    </r>
  </si>
  <si>
    <t xml:space="preserve">4.3</t>
  </si>
  <si>
    <t xml:space="preserve">其中：基础设施设备投资</t>
  </si>
  <si>
    <r>
      <rPr>
        <sz val="10"/>
        <rFont val="Noto Sans CJK SC"/>
        <family val="2"/>
      </rPr>
      <t xml:space="preserve">附表 </t>
    </r>
    <r>
      <rPr>
        <sz val="10"/>
        <rFont val="Arial"/>
        <family val="0"/>
        <charset val="1"/>
      </rPr>
      <t xml:space="preserve">1-2 B</t>
    </r>
  </si>
  <si>
    <t xml:space="preserve">4.4</t>
  </si>
  <si>
    <r>
      <rPr>
        <sz val="10"/>
        <rFont val="Noto Sans CJK SC"/>
        <family val="2"/>
      </rPr>
      <t xml:space="preserve">资金筹措：自有资金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长期借款</t>
    </r>
  </si>
  <si>
    <r>
      <rPr>
        <sz val="10"/>
        <rFont val="Noto Sans CJK SC"/>
        <family val="2"/>
      </rPr>
      <t xml:space="preserve">参数 </t>
    </r>
    <r>
      <rPr>
        <sz val="10"/>
        <rFont val="Arial"/>
        <family val="0"/>
        <charset val="1"/>
      </rPr>
      <t xml:space="preserve">H1</t>
    </r>
    <r>
      <rPr>
        <sz val="10"/>
        <rFont val="Noto Sans CJK SC"/>
        <family val="2"/>
      </rPr>
      <t xml:space="preserve">；借款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附表 </t>
    </r>
    <r>
      <rPr>
        <sz val="10"/>
        <rFont val="Arial"/>
        <family val="0"/>
        <charset val="1"/>
      </rPr>
      <t xml:space="preserve">3</t>
    </r>
  </si>
  <si>
    <t xml:space="preserve">5</t>
  </si>
  <si>
    <t xml:space="preserve">财务指标</t>
  </si>
  <si>
    <t xml:space="preserve">5.1</t>
  </si>
  <si>
    <t xml:space="preserve">营业收入（正常年，不含税）</t>
  </si>
  <si>
    <r>
      <rPr>
        <sz val="10"/>
        <rFont val="Noto Sans CJK SC"/>
        <family val="2"/>
      </rPr>
      <t xml:space="preserve">附表 </t>
    </r>
    <r>
      <rPr>
        <sz val="10"/>
        <rFont val="Arial"/>
        <family val="0"/>
        <charset val="1"/>
      </rPr>
      <t xml:space="preserve">6</t>
    </r>
  </si>
  <si>
    <t xml:space="preserve">5.2</t>
  </si>
  <si>
    <t xml:space="preserve">总成本费用（平均年）</t>
  </si>
  <si>
    <t xml:space="preserve">5.3</t>
  </si>
  <si>
    <t xml:space="preserve">利润总额（平均年）</t>
  </si>
  <si>
    <r>
      <rPr>
        <sz val="10"/>
        <rFont val="Noto Sans CJK SC"/>
        <family val="2"/>
      </rPr>
      <t xml:space="preserve">附表 </t>
    </r>
    <r>
      <rPr>
        <sz val="10"/>
        <rFont val="Arial"/>
        <family val="0"/>
        <charset val="1"/>
      </rPr>
      <t xml:space="preserve">7</t>
    </r>
  </si>
  <si>
    <t xml:space="preserve">5.4</t>
  </si>
  <si>
    <t xml:space="preserve">所得税（平均年）</t>
  </si>
  <si>
    <t xml:space="preserve">5.5</t>
  </si>
  <si>
    <t xml:space="preserve">净利润（平均年）</t>
  </si>
  <si>
    <t xml:space="preserve">5.6</t>
  </si>
  <si>
    <t xml:space="preserve">投资利润率</t>
  </si>
  <si>
    <t xml:space="preserve">%</t>
  </si>
  <si>
    <r>
      <rPr>
        <sz val="10"/>
        <rFont val="Noto Sans CJK SC"/>
        <family val="2"/>
      </rPr>
      <t xml:space="preserve">附表 </t>
    </r>
    <r>
      <rPr>
        <sz val="10"/>
        <rFont val="Arial"/>
        <family val="0"/>
        <charset val="1"/>
      </rPr>
      <t xml:space="preserve">8</t>
    </r>
  </si>
  <si>
    <t xml:space="preserve">5.7</t>
  </si>
  <si>
    <t xml:space="preserve">投资利税率</t>
  </si>
  <si>
    <t xml:space="preserve">5.8</t>
  </si>
  <si>
    <t xml:space="preserve">财务内部收益率（税前）</t>
  </si>
  <si>
    <t xml:space="preserve">5.8b</t>
  </si>
  <si>
    <t xml:space="preserve">财务内部收益率（税后）</t>
  </si>
  <si>
    <t xml:space="preserve">5.9</t>
  </si>
  <si>
    <r>
      <rPr>
        <sz val="10"/>
        <rFont val="Noto Sans CJK SC"/>
        <family val="2"/>
      </rPr>
      <t xml:space="preserve">财务净现值（税前，</t>
    </r>
    <r>
      <rPr>
        <sz val="10"/>
        <rFont val="Arial"/>
        <family val="0"/>
        <charset val="1"/>
      </rPr>
      <t xml:space="preserve">ic</t>
    </r>
    <r>
      <rPr>
        <sz val="10"/>
        <rFont val="Noto Sans CJK SC"/>
        <family val="2"/>
      </rPr>
      <t xml:space="preserve">）</t>
    </r>
  </si>
  <si>
    <t xml:space="preserve">5.9b</t>
  </si>
  <si>
    <t xml:space="preserve">财务净现值（税后）</t>
  </si>
  <si>
    <t xml:space="preserve">5.10</t>
  </si>
  <si>
    <t xml:space="preserve">动态投资回收期（税前，含建设期）</t>
  </si>
  <si>
    <t xml:space="preserve">5.10b</t>
  </si>
  <si>
    <t xml:space="preserve">动态投资回收期（税后，含建设期）</t>
  </si>
  <si>
    <t xml:space="preserve">5.11</t>
  </si>
  <si>
    <t xml:space="preserve">盈亏平衡点（正常年）</t>
  </si>
  <si>
    <t xml:space="preserve">5.12</t>
  </si>
  <si>
    <t xml:space="preserve">运营期最高资产负债率</t>
  </si>
  <si>
    <r>
      <rPr>
        <sz val="10"/>
        <rFont val="Noto Sans CJK SC"/>
        <family val="2"/>
      </rPr>
      <t xml:space="preserve">附表 </t>
    </r>
    <r>
      <rPr>
        <sz val="10"/>
        <rFont val="Arial"/>
        <family val="0"/>
        <charset val="1"/>
      </rPr>
      <t xml:space="preserve">10</t>
    </r>
  </si>
  <si>
    <t xml:space="preserve">5.13</t>
  </si>
  <si>
    <t xml:space="preserve">运营期最低利息备付率</t>
  </si>
  <si>
    <t xml:space="preserve">倍</t>
  </si>
  <si>
    <r>
      <rPr>
        <sz val="10"/>
        <rFont val="Noto Sans CJK SC"/>
        <family val="2"/>
      </rPr>
      <t xml:space="preserve">附表 </t>
    </r>
    <r>
      <rPr>
        <sz val="10"/>
        <rFont val="Arial"/>
        <family val="0"/>
        <charset val="1"/>
      </rPr>
      <t xml:space="preserve">11</t>
    </r>
  </si>
  <si>
    <t xml:space="preserve">5.13b</t>
  </si>
  <si>
    <t xml:space="preserve">运营期最低偿债备付率</t>
  </si>
  <si>
    <t xml:space="preserve">6</t>
  </si>
  <si>
    <t xml:space="preserve">口径</t>
  </si>
  <si>
    <t xml:space="preserve">6.1</t>
  </si>
  <si>
    <t xml:space="preserve">货币与税口径</t>
  </si>
  <si>
    <r>
      <rPr>
        <sz val="10"/>
        <rFont val="Noto Sans CJK SC"/>
        <family val="2"/>
      </rPr>
      <t xml:space="preserve">铁律：国内人民币含税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海外美元未税</t>
    </r>
  </si>
  <si>
    <t xml:space="preserve">6.2</t>
  </si>
  <si>
    <t xml:space="preserve">价格水平基准年</t>
  </si>
  <si>
    <r>
      <rPr>
        <b val="true"/>
        <sz val="14"/>
        <rFont val="Arial"/>
        <family val="0"/>
        <charset val="1"/>
      </rPr>
      <t xml:space="preserve">0 </t>
    </r>
    <r>
      <rPr>
        <b val="true"/>
        <sz val="14"/>
        <rFont val="Noto Sans CJK SC"/>
        <family val="2"/>
      </rPr>
      <t xml:space="preserve">参数与假设（全模型唯一输入页）</t>
    </r>
  </si>
  <si>
    <r>
      <rPr>
        <sz val="10"/>
        <rFont val="Noto Sans CJK SC"/>
        <family val="2"/>
      </rPr>
      <t xml:space="preserve">颜色约定：蓝字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输入；黄底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业主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算力运营方提供并注明来源；黑字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公式；绿字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跨表引用。单位：万元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人民币（含税）</t>
    </r>
  </si>
  <si>
    <r>
      <rPr>
        <b val="true"/>
        <sz val="12"/>
        <rFont val="Arial"/>
        <family val="0"/>
        <charset val="1"/>
      </rPr>
      <t xml:space="preserve">A </t>
    </r>
    <r>
      <rPr>
        <b val="true"/>
        <sz val="12"/>
        <rFont val="Noto Sans CJK SC"/>
        <family val="2"/>
      </rPr>
      <t xml:space="preserve">项目与口径</t>
    </r>
  </si>
  <si>
    <t xml:space="preserve">编号</t>
  </si>
  <si>
    <t xml:space="preserve">参数</t>
  </si>
  <si>
    <r>
      <rPr>
        <b val="true"/>
        <sz val="10"/>
        <rFont val="Noto Sans CJK SC"/>
        <family val="2"/>
      </rPr>
      <t xml:space="preserve">来源 </t>
    </r>
    <r>
      <rPr>
        <b val="true"/>
        <sz val="10"/>
        <rFont val="Arial"/>
        <family val="0"/>
        <charset val="1"/>
      </rPr>
      <t xml:space="preserve">/ </t>
    </r>
    <r>
      <rPr>
        <b val="true"/>
        <sz val="10"/>
        <rFont val="Noto Sans CJK SC"/>
        <family val="2"/>
      </rPr>
      <t xml:space="preserve">说明</t>
    </r>
  </si>
  <si>
    <t xml:space="preserve">A1</t>
  </si>
  <si>
    <t xml:space="preserve">项目名称</t>
  </si>
  <si>
    <r>
      <rPr>
        <sz val="10"/>
        <color rgb="FF0000FF"/>
        <rFont val="Noto Sans CJK SC"/>
        <family val="2"/>
      </rPr>
      <t xml:space="preserve">示例：</t>
    </r>
    <r>
      <rPr>
        <sz val="10"/>
        <color rgb="FF0000FF"/>
        <rFont val="Arial"/>
        <family val="0"/>
        <charset val="1"/>
      </rPr>
      <t xml:space="preserve">XX </t>
    </r>
    <r>
      <rPr>
        <sz val="10"/>
        <color rgb="FF0000FF"/>
        <rFont val="Noto Sans CJK SC"/>
        <family val="2"/>
      </rPr>
      <t xml:space="preserve">县模块化智算中心项目</t>
    </r>
  </si>
  <si>
    <t xml:space="preserve">与可研封面一致</t>
  </si>
  <si>
    <t xml:space="preserve">A2</t>
  </si>
  <si>
    <t xml:space="preserve">货币与税口径（铁律）</t>
  </si>
  <si>
    <t xml:space="preserve">人民币（含税）</t>
  </si>
  <si>
    <t xml:space="preserve">国内方案一律人民币、含税报价；海外方案一律美元、未税。本模板为国内版，单价输入均为含税价，模型内按税率还原不含税值</t>
  </si>
  <si>
    <t xml:space="preserve">A3</t>
  </si>
  <si>
    <t xml:space="preserve">2026</t>
  </si>
  <si>
    <t xml:space="preserve">文本</t>
  </si>
  <si>
    <t xml:space="preserve">A4</t>
  </si>
  <si>
    <r>
      <rPr>
        <sz val="10"/>
        <rFont val="Arial"/>
        <family val="0"/>
        <charset val="1"/>
      </rPr>
      <t xml:space="preserve">1–3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MDC </t>
    </r>
    <r>
      <rPr>
        <sz val="10"/>
        <rFont val="Noto Sans CJK SC"/>
        <family val="2"/>
      </rPr>
      <t xml:space="preserve">模块化项目通常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年（工厂制造 ∥ 现场土建外线）</t>
    </r>
  </si>
  <si>
    <t xml:space="preserve">A5</t>
  </si>
  <si>
    <r>
      <rPr>
        <sz val="10"/>
        <rFont val="Arial"/>
        <family val="0"/>
        <charset val="1"/>
      </rPr>
      <t xml:space="preserve">≤15</t>
    </r>
    <r>
      <rPr>
        <sz val="10"/>
        <rFont val="Noto Sans CJK SC"/>
        <family val="2"/>
      </rPr>
      <t xml:space="preserve">；可研通常取 </t>
    </r>
    <r>
      <rPr>
        <sz val="10"/>
        <rFont val="Arial"/>
        <family val="0"/>
        <charset val="1"/>
      </rPr>
      <t xml:space="preserve">10 </t>
    </r>
    <r>
      <rPr>
        <sz val="10"/>
        <rFont val="Noto Sans CJK SC"/>
        <family val="2"/>
      </rPr>
      <t xml:space="preserve">年</t>
    </r>
  </si>
  <si>
    <t xml:space="preserve">A6</t>
  </si>
  <si>
    <r>
      <rPr>
        <sz val="10"/>
        <rFont val="Noto Sans CJK SC"/>
        <family val="2"/>
      </rPr>
      <t xml:space="preserve">建设投资投入比例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建设第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年</t>
    </r>
  </si>
  <si>
    <r>
      <rPr>
        <sz val="10"/>
        <rFont val="Noto Sans CJK SC"/>
        <family val="2"/>
      </rPr>
      <t xml:space="preserve">建设期各年比例之和须 </t>
    </r>
    <r>
      <rPr>
        <sz val="10"/>
        <rFont val="Arial"/>
        <family val="0"/>
        <charset val="1"/>
      </rPr>
      <t xml:space="preserve">= 1</t>
    </r>
    <r>
      <rPr>
        <sz val="10"/>
        <rFont val="Noto Sans CJK SC"/>
        <family val="2"/>
      </rPr>
      <t xml:space="preserve">（校核表 </t>
    </r>
    <r>
      <rPr>
        <sz val="10"/>
        <rFont val="Arial"/>
        <family val="0"/>
        <charset val="1"/>
      </rPr>
      <t xml:space="preserve">C1</t>
    </r>
    <r>
      <rPr>
        <sz val="10"/>
        <rFont val="Noto Sans CJK SC"/>
        <family val="2"/>
      </rPr>
      <t xml:space="preserve">）</t>
    </r>
  </si>
  <si>
    <t xml:space="preserve">A7</t>
  </si>
  <si>
    <r>
      <rPr>
        <sz val="10"/>
        <rFont val="Noto Sans CJK SC"/>
        <family val="2"/>
      </rPr>
      <t xml:space="preserve">建设投资投入比例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建设第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年</t>
    </r>
  </si>
  <si>
    <t xml:space="preserve">A8</t>
  </si>
  <si>
    <r>
      <rPr>
        <sz val="10"/>
        <rFont val="Noto Sans CJK SC"/>
        <family val="2"/>
      </rPr>
      <t xml:space="preserve">建设投资投入比例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建设第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年</t>
    </r>
  </si>
  <si>
    <t xml:space="preserve">A9</t>
  </si>
  <si>
    <r>
      <rPr>
        <sz val="10"/>
        <rFont val="Noto Sans CJK SC"/>
        <family val="2"/>
      </rPr>
      <t xml:space="preserve">基准收益率 </t>
    </r>
    <r>
      <rPr>
        <sz val="10"/>
        <rFont val="Arial"/>
        <family val="0"/>
        <charset val="1"/>
      </rPr>
      <t xml:space="preserve">ic</t>
    </r>
  </si>
  <si>
    <t xml:space="preserve">《建设项目经济评价方法与参数》第三版 行业基准</t>
  </si>
  <si>
    <t xml:space="preserve">A10</t>
  </si>
  <si>
    <r>
      <rPr>
        <sz val="10"/>
        <rFont val="Noto Sans CJK SC"/>
        <family val="2"/>
      </rPr>
      <t xml:space="preserve">正常年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运营第几年</t>
    </r>
  </si>
  <si>
    <r>
      <rPr>
        <sz val="10"/>
        <rFont val="Noto Sans CJK SC"/>
        <family val="2"/>
      </rPr>
      <t xml:space="preserve">用于盈亏平衡与指标表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正常年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取值；须 ≤ 运营期</t>
    </r>
  </si>
  <si>
    <r>
      <rPr>
        <b val="true"/>
        <sz val="12"/>
        <rFont val="Arial"/>
        <family val="0"/>
        <charset val="1"/>
      </rPr>
      <t xml:space="preserve">B </t>
    </r>
    <r>
      <rPr>
        <b val="true"/>
        <sz val="12"/>
        <rFont val="Noto Sans CJK SC"/>
        <family val="2"/>
      </rPr>
      <t xml:space="preserve">建设规模（与可研 </t>
    </r>
    <r>
      <rPr>
        <b val="true"/>
        <sz val="12"/>
        <rFont val="Arial"/>
        <family val="0"/>
        <charset val="1"/>
      </rPr>
      <t xml:space="preserve">1.1.10 </t>
    </r>
    <r>
      <rPr>
        <b val="true"/>
        <sz val="12"/>
        <rFont val="Noto Sans CJK SC"/>
        <family val="2"/>
      </rPr>
      <t xml:space="preserve">指标表锁定）</t>
    </r>
  </si>
  <si>
    <t xml:space="preserve">B1</t>
  </si>
  <si>
    <r>
      <rPr>
        <sz val="10"/>
        <rFont val="Noto Sans CJK SC"/>
        <family val="2"/>
      </rPr>
      <t xml:space="preserve">一期模块数；分期投产比例见 </t>
    </r>
    <r>
      <rPr>
        <sz val="10"/>
        <rFont val="Arial"/>
        <family val="0"/>
        <charset val="1"/>
      </rPr>
      <t xml:space="preserve">D </t>
    </r>
    <r>
      <rPr>
        <sz val="10"/>
        <rFont val="Noto Sans CJK SC"/>
        <family val="2"/>
      </rPr>
      <t xml:space="preserve">组运营年参数</t>
    </r>
  </si>
  <si>
    <t xml:space="preserve">B2</t>
  </si>
  <si>
    <r>
      <rPr>
        <sz val="10"/>
        <rFont val="Noto Sans CJK SC"/>
        <family val="2"/>
      </rPr>
      <t xml:space="preserve">单模块 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功率</t>
    </r>
  </si>
  <si>
    <t xml:space="preserve">产品口径</t>
  </si>
  <si>
    <t xml:space="preserve">B3</t>
  </si>
  <si>
    <r>
      <rPr>
        <sz val="10"/>
        <rFont val="Noto Sans CJK SC"/>
        <family val="2"/>
      </rPr>
      <t xml:space="preserve">＝ 模块数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单模块 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功率</t>
    </r>
  </si>
  <si>
    <t xml:space="preserve">B4</t>
  </si>
  <si>
    <t xml:space="preserve">标准机架折算功率</t>
  </si>
  <si>
    <r>
      <rPr>
        <sz val="10"/>
        <rFont val="Arial"/>
        <family val="0"/>
        <charset val="1"/>
      </rPr>
      <t xml:space="preserve">kW/</t>
    </r>
    <r>
      <rPr>
        <sz val="10"/>
        <rFont val="Noto Sans CJK SC"/>
        <family val="2"/>
      </rPr>
      <t xml:space="preserve">架</t>
    </r>
  </si>
  <si>
    <t xml:space="preserve">工信部标准机架口径</t>
  </si>
  <si>
    <t xml:space="preserve">B5</t>
  </si>
  <si>
    <t xml:space="preserve">折合标准机架</t>
  </si>
  <si>
    <r>
      <rPr>
        <sz val="10"/>
        <rFont val="Noto Sans CJK SC"/>
        <family val="2"/>
      </rPr>
      <t xml:space="preserve">备案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能评口径</t>
    </r>
  </si>
  <si>
    <t xml:space="preserve">B6</t>
  </si>
  <si>
    <r>
      <rPr>
        <sz val="10"/>
        <rFont val="Noto Sans CJK SC"/>
        <family val="2"/>
      </rPr>
      <t xml:space="preserve">【业主提供】算力设备清单数量，与附表</t>
    </r>
    <r>
      <rPr>
        <sz val="10"/>
        <rFont val="Arial"/>
        <family val="0"/>
        <charset val="1"/>
      </rPr>
      <t xml:space="preserve">1-2 </t>
    </r>
    <r>
      <rPr>
        <sz val="10"/>
        <rFont val="Noto Sans CJK SC"/>
        <family val="2"/>
      </rPr>
      <t xml:space="preserve">一致（校核表 </t>
    </r>
    <r>
      <rPr>
        <sz val="10"/>
        <rFont val="Arial"/>
        <family val="0"/>
        <charset val="1"/>
      </rPr>
      <t xml:space="preserve">C3</t>
    </r>
    <r>
      <rPr>
        <sz val="10"/>
        <rFont val="Noto Sans CJK SC"/>
        <family val="2"/>
      </rPr>
      <t xml:space="preserve">）</t>
    </r>
  </si>
  <si>
    <t xml:space="preserve">B7</t>
  </si>
  <si>
    <r>
      <rPr>
        <sz val="10"/>
        <rFont val="Noto Sans CJK SC"/>
        <family val="2"/>
      </rPr>
      <t xml:space="preserve">单台算力（</t>
    </r>
    <r>
      <rPr>
        <sz val="10"/>
        <rFont val="Arial"/>
        <family val="0"/>
        <charset val="1"/>
      </rPr>
      <t xml:space="preserve">FP16 </t>
    </r>
    <r>
      <rPr>
        <sz val="10"/>
        <rFont val="Noto Sans CJK SC"/>
        <family val="2"/>
      </rPr>
      <t xml:space="preserve">稠密）</t>
    </r>
  </si>
  <si>
    <r>
      <rPr>
        <sz val="10"/>
        <rFont val="Noto Sans CJK SC"/>
        <family val="2"/>
      </rPr>
      <t xml:space="preserve">【业主提供】注明精度与稠密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稀疏</t>
    </r>
  </si>
  <si>
    <t xml:space="preserve">B8</t>
  </si>
  <si>
    <t xml:space="preserve">总算力</t>
  </si>
  <si>
    <t xml:space="preserve">B9</t>
  </si>
  <si>
    <t xml:space="preserve">可售计价单元数</t>
  </si>
  <si>
    <r>
      <rPr>
        <sz val="10"/>
        <rFont val="Noto Sans CJK SC"/>
        <family val="2"/>
      </rPr>
      <t xml:space="preserve">默认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服务器台数；按机柜计价时改为机柜数</t>
    </r>
  </si>
  <si>
    <r>
      <rPr>
        <b val="true"/>
        <sz val="12"/>
        <rFont val="Arial"/>
        <family val="0"/>
        <charset val="1"/>
      </rPr>
      <t xml:space="preserve">C </t>
    </r>
    <r>
      <rPr>
        <b val="true"/>
        <sz val="12"/>
        <rFont val="Noto Sans CJK SC"/>
        <family val="2"/>
      </rPr>
      <t xml:space="preserve">负荷与能耗（可研</t>
    </r>
    <r>
      <rPr>
        <b val="true"/>
        <sz val="12"/>
        <rFont val="Arial"/>
        <family val="0"/>
        <charset val="1"/>
      </rPr>
      <t xml:space="preserve">'</t>
    </r>
    <r>
      <rPr>
        <b val="true"/>
        <sz val="12"/>
        <rFont val="Noto Sans CJK SC"/>
        <family val="2"/>
      </rPr>
      <t xml:space="preserve">一张负荷表</t>
    </r>
    <r>
      <rPr>
        <b val="true"/>
        <sz val="12"/>
        <rFont val="Arial"/>
        <family val="0"/>
        <charset val="1"/>
      </rPr>
      <t xml:space="preserve">'</t>
    </r>
    <r>
      <rPr>
        <b val="true"/>
        <sz val="12"/>
        <rFont val="Noto Sans CJK SC"/>
        <family val="2"/>
      </rPr>
      <t xml:space="preserve">，供电章 </t>
    </r>
    <r>
      <rPr>
        <b val="true"/>
        <sz val="12"/>
        <rFont val="Arial"/>
        <family val="0"/>
        <charset val="1"/>
      </rPr>
      <t xml:space="preserve">/ </t>
    </r>
    <r>
      <rPr>
        <b val="true"/>
        <sz val="12"/>
        <rFont val="Noto Sans CJK SC"/>
        <family val="2"/>
      </rPr>
      <t xml:space="preserve">能评章 </t>
    </r>
    <r>
      <rPr>
        <b val="true"/>
        <sz val="12"/>
        <rFont val="Arial"/>
        <family val="0"/>
        <charset val="1"/>
      </rPr>
      <t xml:space="preserve">/ </t>
    </r>
    <r>
      <rPr>
        <b val="true"/>
        <sz val="12"/>
        <rFont val="Noto Sans CJK SC"/>
        <family val="2"/>
      </rPr>
      <t xml:space="preserve">财务章同源）</t>
    </r>
  </si>
  <si>
    <t xml:space="preserve">C1</t>
  </si>
  <si>
    <r>
      <rPr>
        <sz val="10"/>
        <rFont val="Arial"/>
        <family val="0"/>
        <charset val="1"/>
      </rPr>
      <t xml:space="preserve">GB 40879-2021 </t>
    </r>
    <r>
      <rPr>
        <sz val="10"/>
        <rFont val="Noto Sans CJK SC"/>
        <family val="2"/>
      </rPr>
      <t xml:space="preserve">口径；与可研 </t>
    </r>
    <r>
      <rPr>
        <sz val="10"/>
        <rFont val="Arial"/>
        <family val="0"/>
        <charset val="1"/>
      </rPr>
      <t xml:space="preserve">7.4 </t>
    </r>
    <r>
      <rPr>
        <sz val="10"/>
        <rFont val="Noto Sans CJK SC"/>
        <family val="2"/>
      </rPr>
      <t xml:space="preserve">计算值一致</t>
    </r>
  </si>
  <si>
    <t xml:space="preserve">C2</t>
  </si>
  <si>
    <r>
      <rPr>
        <sz val="10"/>
        <rFont val="Noto Sans CJK SC"/>
        <family val="2"/>
      </rPr>
      <t xml:space="preserve">运维楼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柴发房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值班等</t>
    </r>
  </si>
  <si>
    <t xml:space="preserve">C3</t>
  </si>
  <si>
    <t xml:space="preserve">配套用房单位负荷</t>
  </si>
  <si>
    <r>
      <rPr>
        <sz val="10"/>
        <rFont val="Arial"/>
        <family val="0"/>
        <charset val="1"/>
      </rPr>
      <t xml:space="preserve">W/</t>
    </r>
    <r>
      <rPr>
        <sz val="10"/>
        <rFont val="Noto Sans CJK SC"/>
        <family val="2"/>
      </rPr>
      <t xml:space="preserve">㎡</t>
    </r>
  </si>
  <si>
    <t xml:space="preserve">C4</t>
  </si>
  <si>
    <t xml:space="preserve">配套用房功率</t>
  </si>
  <si>
    <t xml:space="preserve">C5</t>
  </si>
  <si>
    <r>
      <rPr>
        <sz val="10"/>
        <rFont val="Noto Sans CJK SC"/>
        <family val="2"/>
      </rPr>
      <t xml:space="preserve">配套机电功率（冷却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供配电损耗）</t>
    </r>
  </si>
  <si>
    <r>
      <rPr>
        <sz val="10"/>
        <rFont val="Noto Sans CJK SC"/>
        <family val="2"/>
      </rPr>
      <t xml:space="preserve">＝ </t>
    </r>
    <r>
      <rPr>
        <sz val="10"/>
        <rFont val="Arial"/>
        <family val="0"/>
        <charset val="1"/>
      </rPr>
      <t xml:space="preserve">IT × (PUE−1)</t>
    </r>
    <r>
      <rPr>
        <sz val="10"/>
        <rFont val="Noto Sans CJK SC"/>
        <family val="2"/>
      </rPr>
      <t xml:space="preserve">，不用 </t>
    </r>
    <r>
      <rPr>
        <sz val="10"/>
        <rFont val="Arial"/>
        <family val="0"/>
        <charset val="1"/>
      </rPr>
      <t xml:space="preserve">30% </t>
    </r>
    <r>
      <rPr>
        <sz val="10"/>
        <rFont val="Noto Sans CJK SC"/>
        <family val="2"/>
      </rPr>
      <t xml:space="preserve">平铺</t>
    </r>
  </si>
  <si>
    <t xml:space="preserve">C6</t>
  </si>
  <si>
    <t xml:space="preserve">供电章负荷计算结论</t>
  </si>
  <si>
    <t xml:space="preserve">C7</t>
  </si>
  <si>
    <t xml:space="preserve">配套用房需要系数</t>
  </si>
  <si>
    <t xml:space="preserve">C8</t>
  </si>
  <si>
    <t xml:space="preserve">年运行小时</t>
  </si>
  <si>
    <t xml:space="preserve">h</t>
  </si>
  <si>
    <t xml:space="preserve">C9</t>
  </si>
  <si>
    <t xml:space="preserve">满负荷年用水量</t>
  </si>
  <si>
    <r>
      <rPr>
        <sz val="10"/>
        <rFont val="Noto Sans CJK SC"/>
        <family val="2"/>
      </rPr>
      <t xml:space="preserve">取自可研 </t>
    </r>
    <r>
      <rPr>
        <sz val="10"/>
        <rFont val="Arial"/>
        <family val="0"/>
        <charset val="1"/>
      </rPr>
      <t xml:space="preserve">4.3.5 </t>
    </r>
    <r>
      <rPr>
        <sz val="10"/>
        <rFont val="Noto Sans CJK SC"/>
        <family val="2"/>
      </rPr>
      <t xml:space="preserve">用水量表（采暖期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非采暖期）</t>
    </r>
  </si>
  <si>
    <t xml:space="preserve">C10</t>
  </si>
  <si>
    <t xml:space="preserve">电价（含税）</t>
  </si>
  <si>
    <r>
      <rPr>
        <sz val="10"/>
        <rFont val="Noto Sans CJK SC"/>
        <family val="2"/>
      </rPr>
      <t xml:space="preserve">元</t>
    </r>
    <r>
      <rPr>
        <sz val="10"/>
        <rFont val="Arial"/>
        <family val="0"/>
        <charset val="1"/>
      </rPr>
      <t xml:space="preserve">/kWh</t>
    </r>
  </si>
  <si>
    <r>
      <rPr>
        <sz val="10"/>
        <rFont val="Noto Sans CJK SC"/>
        <family val="2"/>
      </rPr>
      <t xml:space="preserve">当地大工业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直供电价，含税</t>
    </r>
  </si>
  <si>
    <t xml:space="preserve">C11</t>
  </si>
  <si>
    <t xml:space="preserve">电力增值税率</t>
  </si>
  <si>
    <t xml:space="preserve">C12</t>
  </si>
  <si>
    <t xml:space="preserve">水价（含税）</t>
  </si>
  <si>
    <r>
      <rPr>
        <sz val="10"/>
        <rFont val="Noto Sans CJK SC"/>
        <family val="2"/>
      </rPr>
      <t xml:space="preserve">元</t>
    </r>
    <r>
      <rPr>
        <sz val="10"/>
        <rFont val="Arial"/>
        <family val="0"/>
        <charset val="1"/>
      </rPr>
      <t xml:space="preserve">/m³</t>
    </r>
  </si>
  <si>
    <t xml:space="preserve">C13</t>
  </si>
  <si>
    <t xml:space="preserve">水增值税率</t>
  </si>
  <si>
    <r>
      <rPr>
        <b val="true"/>
        <sz val="12"/>
        <rFont val="Arial"/>
        <family val="0"/>
        <charset val="1"/>
      </rPr>
      <t xml:space="preserve">D </t>
    </r>
    <r>
      <rPr>
        <b val="true"/>
        <sz val="12"/>
        <rFont val="Noto Sans CJK SC"/>
        <family val="2"/>
      </rPr>
      <t xml:space="preserve">收入（价格参数由业主</t>
    </r>
    <r>
      <rPr>
        <b val="true"/>
        <sz val="12"/>
        <rFont val="Arial"/>
        <family val="0"/>
        <charset val="1"/>
      </rPr>
      <t xml:space="preserve">/</t>
    </r>
    <r>
      <rPr>
        <b val="true"/>
        <sz val="12"/>
        <rFont val="Noto Sans CJK SC"/>
        <family val="2"/>
      </rPr>
      <t xml:space="preserve">算力运营方提供）</t>
    </r>
  </si>
  <si>
    <t xml:space="preserve">D1</t>
  </si>
  <si>
    <t xml:space="preserve">算力单价（含税，基准值）</t>
  </si>
  <si>
    <r>
      <rPr>
        <sz val="10"/>
        <rFont val="Noto Sans CJK SC"/>
        <family val="2"/>
      </rPr>
      <t xml:space="preserve">万元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月</t>
    </r>
  </si>
  <si>
    <t xml:space="preserve">【业主提供】同类智算中心市场价；注明来源文件</t>
  </si>
  <si>
    <t xml:space="preserve">D2</t>
  </si>
  <si>
    <t xml:space="preserve">单价敏感性系数</t>
  </si>
  <si>
    <r>
      <rPr>
        <sz val="10"/>
        <rFont val="Noto Sans CJK SC"/>
        <family val="2"/>
      </rPr>
      <t xml:space="preserve">由敏感性表驱动，基准 </t>
    </r>
    <r>
      <rPr>
        <sz val="10"/>
        <rFont val="Arial"/>
        <family val="0"/>
        <charset val="1"/>
      </rPr>
      <t xml:space="preserve">= 1.00</t>
    </r>
  </si>
  <si>
    <t xml:space="preserve">D3</t>
  </si>
  <si>
    <t xml:space="preserve">算力单价（含税，测算值）</t>
  </si>
  <si>
    <t xml:space="preserve">D4</t>
  </si>
  <si>
    <t xml:space="preserve">收入增值税率</t>
  </si>
  <si>
    <r>
      <rPr>
        <sz val="10"/>
        <rFont val="Noto Sans CJK SC"/>
        <family val="2"/>
      </rPr>
      <t xml:space="preserve">信息技术服务 </t>
    </r>
    <r>
      <rPr>
        <sz val="10"/>
        <rFont val="Arial"/>
        <family val="0"/>
        <charset val="1"/>
      </rPr>
      <t xml:space="preserve">6%</t>
    </r>
  </si>
  <si>
    <t xml:space="preserve">D5</t>
  </si>
  <si>
    <t xml:space="preserve">售卖比例敏感性系数</t>
  </si>
  <si>
    <r>
      <rPr>
        <sz val="10"/>
        <rFont val="Noto Sans CJK SC"/>
        <family val="2"/>
      </rPr>
      <t xml:space="preserve">基准 </t>
    </r>
    <r>
      <rPr>
        <sz val="10"/>
        <rFont val="Arial"/>
        <family val="0"/>
        <charset val="1"/>
      </rPr>
      <t xml:space="preserve">= 1.00</t>
    </r>
  </si>
  <si>
    <t xml:space="preserve">D6</t>
  </si>
  <si>
    <t xml:space="preserve">电价敏感性系数</t>
  </si>
  <si>
    <t xml:space="preserve">D7</t>
  </si>
  <si>
    <t xml:space="preserve">算力设备价格敏感性系数</t>
  </si>
  <si>
    <t xml:space="preserve">D8</t>
  </si>
  <si>
    <t xml:space="preserve">基础设施设备价格敏感性系数</t>
  </si>
  <si>
    <r>
      <rPr>
        <b val="true"/>
        <sz val="12"/>
        <rFont val="Arial"/>
        <family val="0"/>
        <charset val="1"/>
      </rPr>
      <t xml:space="preserve">E </t>
    </r>
    <r>
      <rPr>
        <b val="true"/>
        <sz val="12"/>
        <rFont val="Noto Sans CJK SC"/>
        <family val="2"/>
      </rPr>
      <t xml:space="preserve">成本</t>
    </r>
  </si>
  <si>
    <t xml:space="preserve">E1</t>
  </si>
  <si>
    <t xml:space="preserve">专线数量</t>
  </si>
  <si>
    <t xml:space="preserve">条</t>
  </si>
  <si>
    <t xml:space="preserve">E2</t>
  </si>
  <si>
    <t xml:space="preserve">专线年费（含税）</t>
  </si>
  <si>
    <r>
      <rPr>
        <sz val="10"/>
        <rFont val="Noto Sans CJK SC"/>
        <family val="2"/>
      </rPr>
      <t xml:space="preserve">万元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条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年</t>
    </r>
  </si>
  <si>
    <t xml:space="preserve">E3</t>
  </si>
  <si>
    <t xml:space="preserve">专线增值税率</t>
  </si>
  <si>
    <t xml:space="preserve">E4</t>
  </si>
  <si>
    <t xml:space="preserve">运维服务外包费（含税）</t>
  </si>
  <si>
    <r>
      <rPr>
        <sz val="10"/>
        <rFont val="Noto Sans CJK SC"/>
        <family val="2"/>
      </rPr>
      <t xml:space="preserve">万元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年</t>
    </r>
  </si>
  <si>
    <r>
      <rPr>
        <sz val="10"/>
        <rFont val="Noto Sans CJK SC"/>
        <family val="2"/>
      </rPr>
      <t xml:space="preserve">第三方运维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驻场</t>
    </r>
  </si>
  <si>
    <t xml:space="preserve">E5</t>
  </si>
  <si>
    <t xml:space="preserve">运维类费用增值税率</t>
  </si>
  <si>
    <r>
      <rPr>
        <sz val="10"/>
        <rFont val="Noto Sans CJK SC"/>
        <family val="2"/>
      </rPr>
      <t xml:space="preserve">维保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软件维护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外包按 </t>
    </r>
    <r>
      <rPr>
        <sz val="10"/>
        <rFont val="Arial"/>
        <family val="0"/>
        <charset val="1"/>
      </rPr>
      <t xml:space="preserve">6% </t>
    </r>
    <r>
      <rPr>
        <sz val="10"/>
        <rFont val="Noto Sans CJK SC"/>
        <family val="2"/>
      </rPr>
      <t xml:space="preserve">还原</t>
    </r>
  </si>
  <si>
    <t xml:space="preserve">E6</t>
  </si>
  <si>
    <t xml:space="preserve">软件维护费率（占软件费）</t>
  </si>
  <si>
    <t xml:space="preserve">E7</t>
  </si>
  <si>
    <t xml:space="preserve">机电设备维护费率（占基础设施设备费）</t>
  </si>
  <si>
    <t xml:space="preserve">E8</t>
  </si>
  <si>
    <r>
      <rPr>
        <sz val="10"/>
        <rFont val="Noto Sans CJK SC"/>
        <family val="2"/>
      </rPr>
      <t xml:space="preserve">定员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中高层管理</t>
    </r>
  </si>
  <si>
    <t xml:space="preserve">E9</t>
  </si>
  <si>
    <r>
      <rPr>
        <sz val="10"/>
        <rFont val="Noto Sans CJK SC"/>
        <family val="2"/>
      </rPr>
      <t xml:space="preserve">定员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技术人员</t>
    </r>
  </si>
  <si>
    <r>
      <rPr>
        <sz val="10"/>
        <rFont val="Arial"/>
        <family val="0"/>
        <charset val="1"/>
      </rPr>
      <t xml:space="preserve">MDC </t>
    </r>
    <r>
      <rPr>
        <sz val="10"/>
        <rFont val="Noto Sans CJK SC"/>
        <family val="2"/>
      </rPr>
      <t xml:space="preserve">少人值守</t>
    </r>
  </si>
  <si>
    <t xml:space="preserve">E10</t>
  </si>
  <si>
    <r>
      <rPr>
        <sz val="10"/>
        <rFont val="Noto Sans CJK SC"/>
        <family val="2"/>
      </rPr>
      <t xml:space="preserve">定员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普通人员</t>
    </r>
  </si>
  <si>
    <t xml:space="preserve">E11</t>
  </si>
  <si>
    <r>
      <rPr>
        <sz val="10"/>
        <rFont val="Noto Sans CJK SC"/>
        <family val="2"/>
      </rPr>
      <t xml:space="preserve">人均工资福利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中高层</t>
    </r>
  </si>
  <si>
    <r>
      <rPr>
        <sz val="10"/>
        <rFont val="Noto Sans CJK SC"/>
        <family val="2"/>
      </rPr>
      <t xml:space="preserve">万元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人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年</t>
    </r>
  </si>
  <si>
    <t xml:space="preserve">E12</t>
  </si>
  <si>
    <r>
      <rPr>
        <sz val="10"/>
        <rFont val="Noto Sans CJK SC"/>
        <family val="2"/>
      </rPr>
      <t xml:space="preserve">人均工资福利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技术</t>
    </r>
  </si>
  <si>
    <t xml:space="preserve">E13</t>
  </si>
  <si>
    <r>
      <rPr>
        <sz val="10"/>
        <rFont val="Noto Sans CJK SC"/>
        <family val="2"/>
      </rPr>
      <t xml:space="preserve">人均工资福利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普通</t>
    </r>
  </si>
  <si>
    <t xml:space="preserve">E14</t>
  </si>
  <si>
    <t xml:space="preserve">定员合计</t>
  </si>
  <si>
    <r>
      <rPr>
        <sz val="10"/>
        <rFont val="Noto Sans CJK SC"/>
        <family val="2"/>
      </rPr>
      <t xml:space="preserve">＝ 可研 </t>
    </r>
    <r>
      <rPr>
        <sz val="10"/>
        <rFont val="Arial"/>
        <family val="0"/>
        <charset val="1"/>
      </rPr>
      <t xml:space="preserve">5.3.2 </t>
    </r>
    <r>
      <rPr>
        <sz val="10"/>
        <rFont val="Noto Sans CJK SC"/>
        <family val="2"/>
      </rPr>
      <t xml:space="preserve">劳动定员</t>
    </r>
  </si>
  <si>
    <t xml:space="preserve">E15</t>
  </si>
  <si>
    <t xml:space="preserve">工资及福利总额</t>
  </si>
  <si>
    <t xml:space="preserve">E16</t>
  </si>
  <si>
    <t xml:space="preserve">其他管理费率（占工资）</t>
  </si>
  <si>
    <r>
      <rPr>
        <sz val="10"/>
        <rFont val="Noto Sans CJK SC"/>
        <family val="2"/>
      </rPr>
      <t xml:space="preserve">工会经费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教育经费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业务招待等</t>
    </r>
  </si>
  <si>
    <r>
      <rPr>
        <b val="true"/>
        <sz val="12"/>
        <rFont val="Arial"/>
        <family val="0"/>
        <charset val="1"/>
      </rPr>
      <t xml:space="preserve">F </t>
    </r>
    <r>
      <rPr>
        <b val="true"/>
        <sz val="12"/>
        <rFont val="Noto Sans CJK SC"/>
        <family val="2"/>
      </rPr>
      <t xml:space="preserve">折旧与摊销（分层）</t>
    </r>
  </si>
  <si>
    <t xml:space="preserve">F1</t>
  </si>
  <si>
    <t xml:space="preserve">建筑类折旧年限</t>
  </si>
  <si>
    <r>
      <rPr>
        <sz val="10"/>
        <rFont val="Noto Sans CJK SC"/>
        <family val="2"/>
      </rPr>
      <t xml:space="preserve">配套用房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场地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基础</t>
    </r>
  </si>
  <si>
    <t xml:space="preserve">F2</t>
  </si>
  <si>
    <t xml:space="preserve">基础设施设备折旧年限</t>
  </si>
  <si>
    <r>
      <rPr>
        <sz val="10"/>
        <rFont val="Noto Sans CJK SC"/>
        <family val="2"/>
      </rPr>
      <t xml:space="preserve">模块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电力舱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冷源 </t>
    </r>
    <r>
      <rPr>
        <sz val="10"/>
        <rFont val="Arial"/>
        <family val="0"/>
        <charset val="1"/>
      </rPr>
      <t xml:space="preserve">/ UPS / </t>
    </r>
    <r>
      <rPr>
        <sz val="10"/>
        <rFont val="Noto Sans CJK SC"/>
        <family val="2"/>
      </rPr>
      <t xml:space="preserve">柴发</t>
    </r>
  </si>
  <si>
    <t xml:space="preserve">F3</t>
  </si>
  <si>
    <t xml:space="preserve">算力设备折旧年限</t>
  </si>
  <si>
    <r>
      <rPr>
        <sz val="10"/>
        <rFont val="Noto Sans CJK SC"/>
        <family val="2"/>
      </rPr>
      <t xml:space="preserve">【业主提供】按业主会计口径确认；范例用 </t>
    </r>
    <r>
      <rPr>
        <sz val="10"/>
        <rFont val="Arial"/>
        <family val="0"/>
        <charset val="1"/>
      </rPr>
      <t xml:space="preserve">15 </t>
    </r>
    <r>
      <rPr>
        <sz val="10"/>
        <rFont val="Noto Sans CJK SC"/>
        <family val="2"/>
      </rPr>
      <t xml:space="preserve">年偏乐观</t>
    </r>
  </si>
  <si>
    <t xml:space="preserve">F4</t>
  </si>
  <si>
    <t xml:space="preserve">残值率</t>
  </si>
  <si>
    <t xml:space="preserve">F5</t>
  </si>
  <si>
    <t xml:space="preserve">递延资产摊销年限</t>
  </si>
  <si>
    <r>
      <rPr>
        <sz val="10"/>
        <rFont val="Noto Sans CJK SC"/>
        <family val="2"/>
      </rPr>
      <t xml:space="preserve">培训费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办公家具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提前进场费等</t>
    </r>
  </si>
  <si>
    <t xml:space="preserve">F6</t>
  </si>
  <si>
    <t xml:space="preserve">固定资产原值扣减可抵扣进项税</t>
  </si>
  <si>
    <t xml:space="preserve">1/0</t>
  </si>
  <si>
    <r>
      <rPr>
        <sz val="10"/>
        <rFont val="Arial"/>
        <family val="0"/>
        <charset val="1"/>
      </rPr>
      <t xml:space="preserve">1 = </t>
    </r>
    <r>
      <rPr>
        <sz val="10"/>
        <rFont val="Noto Sans CJK SC"/>
        <family val="2"/>
      </rPr>
      <t xml:space="preserve">原值按不含税计（一般纳税人）；</t>
    </r>
    <r>
      <rPr>
        <sz val="10"/>
        <rFont val="Arial"/>
        <family val="0"/>
        <charset val="1"/>
      </rPr>
      <t xml:space="preserve">0 = </t>
    </r>
    <r>
      <rPr>
        <sz val="10"/>
        <rFont val="Noto Sans CJK SC"/>
        <family val="2"/>
      </rPr>
      <t xml:space="preserve">含税入账</t>
    </r>
  </si>
  <si>
    <r>
      <rPr>
        <b val="true"/>
        <sz val="12"/>
        <rFont val="Arial"/>
        <family val="0"/>
        <charset val="1"/>
      </rPr>
      <t xml:space="preserve">G </t>
    </r>
    <r>
      <rPr>
        <b val="true"/>
        <sz val="12"/>
        <rFont val="Noto Sans CJK SC"/>
        <family val="2"/>
      </rPr>
      <t xml:space="preserve">税费</t>
    </r>
  </si>
  <si>
    <t xml:space="preserve">G1</t>
  </si>
  <si>
    <t xml:space="preserve">建安工程进项税率</t>
  </si>
  <si>
    <t xml:space="preserve">G2</t>
  </si>
  <si>
    <t xml:space="preserve">设备购置进项税率</t>
  </si>
  <si>
    <t xml:space="preserve">G3</t>
  </si>
  <si>
    <t xml:space="preserve">城市维护建设税</t>
  </si>
  <si>
    <t xml:space="preserve">按实缴增值税</t>
  </si>
  <si>
    <t xml:space="preserve">G4</t>
  </si>
  <si>
    <t xml:space="preserve">教育费附加</t>
  </si>
  <si>
    <t xml:space="preserve">G5</t>
  </si>
  <si>
    <t xml:space="preserve">地方教育附加</t>
  </si>
  <si>
    <t xml:space="preserve">G6</t>
  </si>
  <si>
    <t xml:space="preserve">企业所得税率</t>
  </si>
  <si>
    <t xml:space="preserve">如享受优惠税率在此改</t>
  </si>
  <si>
    <t xml:space="preserve">G7</t>
  </si>
  <si>
    <t xml:space="preserve">法定盈余公积提取比例</t>
  </si>
  <si>
    <r>
      <rPr>
        <b val="true"/>
        <sz val="12"/>
        <rFont val="Arial"/>
        <family val="0"/>
        <charset val="1"/>
      </rPr>
      <t xml:space="preserve">H </t>
    </r>
    <r>
      <rPr>
        <b val="true"/>
        <sz val="12"/>
        <rFont val="Noto Sans CJK SC"/>
        <family val="2"/>
      </rPr>
      <t xml:space="preserve">融资</t>
    </r>
  </si>
  <si>
    <t xml:space="preserve">H1</t>
  </si>
  <si>
    <t xml:space="preserve">企业自有资金（用于建设投资）</t>
  </si>
  <si>
    <t xml:space="preserve">资本金</t>
  </si>
  <si>
    <t xml:space="preserve">H2</t>
  </si>
  <si>
    <t xml:space="preserve">长期借款利率</t>
  </si>
  <si>
    <t xml:space="preserve">H3</t>
  </si>
  <si>
    <t xml:space="preserve">长期借款还款年限（等额还本）</t>
  </si>
  <si>
    <r>
      <rPr>
        <sz val="10"/>
        <rFont val="Noto Sans CJK SC"/>
        <family val="2"/>
      </rPr>
      <t xml:space="preserve">自运营第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年起；须 ≤ 运营期</t>
    </r>
  </si>
  <si>
    <t xml:space="preserve">H4</t>
  </si>
  <si>
    <t xml:space="preserve">建设期利息资金来源</t>
  </si>
  <si>
    <r>
      <rPr>
        <sz val="10"/>
        <rFont val="Arial"/>
        <family val="0"/>
        <charset val="1"/>
      </rPr>
      <t xml:space="preserve">1 = </t>
    </r>
    <r>
      <rPr>
        <sz val="10"/>
        <rFont val="Noto Sans CJK SC"/>
        <family val="2"/>
      </rPr>
      <t xml:space="preserve">资本化计入贷款本金；</t>
    </r>
    <r>
      <rPr>
        <sz val="10"/>
        <rFont val="Arial"/>
        <family val="0"/>
        <charset val="1"/>
      </rPr>
      <t xml:space="preserve">0 = </t>
    </r>
    <r>
      <rPr>
        <sz val="10"/>
        <rFont val="Noto Sans CJK SC"/>
        <family val="2"/>
      </rPr>
      <t xml:space="preserve">由资本金支付</t>
    </r>
  </si>
  <si>
    <t xml:space="preserve">H5</t>
  </si>
  <si>
    <t xml:space="preserve">流动资金借款比例</t>
  </si>
  <si>
    <r>
      <rPr>
        <sz val="10"/>
        <rFont val="Noto Sans CJK SC"/>
        <family val="2"/>
      </rPr>
      <t xml:space="preserve">其余 </t>
    </r>
    <r>
      <rPr>
        <sz val="10"/>
        <rFont val="Arial"/>
        <family val="0"/>
        <charset val="1"/>
      </rPr>
      <t xml:space="preserve">30% </t>
    </r>
    <r>
      <rPr>
        <sz val="10"/>
        <rFont val="Noto Sans CJK SC"/>
        <family val="2"/>
      </rPr>
      <t xml:space="preserve">为铺底流动资金（资本金）</t>
    </r>
  </si>
  <si>
    <t xml:space="preserve">H6</t>
  </si>
  <si>
    <t xml:space="preserve">流动资金借款利率</t>
  </si>
  <si>
    <r>
      <rPr>
        <b val="true"/>
        <sz val="12"/>
        <rFont val="Arial"/>
        <family val="0"/>
        <charset val="1"/>
      </rPr>
      <t xml:space="preserve">I </t>
    </r>
    <r>
      <rPr>
        <b val="true"/>
        <sz val="12"/>
        <rFont val="Noto Sans CJK SC"/>
        <family val="2"/>
      </rPr>
      <t xml:space="preserve">流动资金（分项详细估算法）</t>
    </r>
  </si>
  <si>
    <t xml:space="preserve">I1</t>
  </si>
  <si>
    <t xml:space="preserve">应收账款周转天数</t>
  </si>
  <si>
    <t xml:space="preserve">天</t>
  </si>
  <si>
    <t xml:space="preserve">I2</t>
  </si>
  <si>
    <t xml:space="preserve">存货（外购动力）周转天数</t>
  </si>
  <si>
    <t xml:space="preserve">I3</t>
  </si>
  <si>
    <t xml:space="preserve">现金周转天数</t>
  </si>
  <si>
    <t xml:space="preserve">I4</t>
  </si>
  <si>
    <t xml:space="preserve">应付账款周转天数</t>
  </si>
  <si>
    <t xml:space="preserve">I5</t>
  </si>
  <si>
    <t xml:space="preserve">一年按天数</t>
  </si>
  <si>
    <r>
      <rPr>
        <b val="true"/>
        <sz val="12"/>
        <rFont val="Arial"/>
        <family val="0"/>
        <charset val="1"/>
      </rPr>
      <t xml:space="preserve">J </t>
    </r>
    <r>
      <rPr>
        <b val="true"/>
        <sz val="12"/>
        <rFont val="Noto Sans CJK SC"/>
        <family val="2"/>
      </rPr>
      <t xml:space="preserve">工程建设其他费用费率（简化为费率；正式稿可按累进法手改金额）</t>
    </r>
  </si>
  <si>
    <t xml:space="preserve">J1</t>
  </si>
  <si>
    <t xml:space="preserve">土地费</t>
  </si>
  <si>
    <r>
      <rPr>
        <sz val="10"/>
        <rFont val="Noto Sans CJK SC"/>
        <family val="2"/>
      </rPr>
      <t xml:space="preserve">出让金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契税等</t>
    </r>
  </si>
  <si>
    <t xml:space="preserve">J2</t>
  </si>
  <si>
    <t xml:space="preserve">建设单位管理费率（占工程费）</t>
  </si>
  <si>
    <r>
      <rPr>
        <sz val="10"/>
        <rFont val="Noto Sans CJK SC"/>
        <family val="2"/>
      </rPr>
      <t xml:space="preserve">财建〔</t>
    </r>
    <r>
      <rPr>
        <sz val="10"/>
        <rFont val="Arial"/>
        <family val="0"/>
        <charset val="1"/>
      </rPr>
      <t xml:space="preserve">2016</t>
    </r>
    <r>
      <rPr>
        <sz val="10"/>
        <rFont val="Noto Sans CJK SC"/>
        <family val="2"/>
      </rPr>
      <t xml:space="preserve">〕</t>
    </r>
    <r>
      <rPr>
        <sz val="10"/>
        <rFont val="Arial"/>
        <family val="0"/>
        <charset val="1"/>
      </rPr>
      <t xml:space="preserve">504 </t>
    </r>
    <r>
      <rPr>
        <sz val="10"/>
        <rFont val="Noto Sans CJK SC"/>
        <family val="2"/>
      </rPr>
      <t xml:space="preserve">号累进法简化</t>
    </r>
  </si>
  <si>
    <t xml:space="preserve">J3</t>
  </si>
  <si>
    <r>
      <rPr>
        <sz val="10"/>
        <rFont val="Noto Sans CJK SC"/>
        <family val="2"/>
      </rPr>
      <t xml:space="preserve">工程监理费率（计费额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建安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设备</t>
    </r>
    <r>
      <rPr>
        <sz val="10"/>
        <rFont val="Arial"/>
        <family val="0"/>
        <charset val="1"/>
      </rPr>
      <t xml:space="preserve">×40%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</si>
  <si>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发改价格〔</t>
    </r>
    <r>
      <rPr>
        <sz val="10"/>
        <rFont val="Arial"/>
        <family val="0"/>
        <charset val="1"/>
      </rPr>
      <t xml:space="preserve">2007</t>
    </r>
    <r>
      <rPr>
        <sz val="10"/>
        <rFont val="Noto Sans CJK SC"/>
        <family val="2"/>
      </rPr>
      <t xml:space="preserve">〕</t>
    </r>
    <r>
      <rPr>
        <sz val="10"/>
        <rFont val="Arial"/>
        <family val="0"/>
        <charset val="1"/>
      </rPr>
      <t xml:space="preserve">670 </t>
    </r>
    <r>
      <rPr>
        <sz val="10"/>
        <rFont val="Noto Sans CJK SC"/>
        <family val="2"/>
      </rPr>
      <t xml:space="preserve">号，市场价折后</t>
    </r>
  </si>
  <si>
    <t xml:space="preserve">J4</t>
  </si>
  <si>
    <t xml:space="preserve">勘察费率（占建安）</t>
  </si>
  <si>
    <r>
      <rPr>
        <sz val="10"/>
        <rFont val="Noto Sans CJK SC"/>
        <family val="2"/>
      </rPr>
      <t xml:space="preserve">计价格〔</t>
    </r>
    <r>
      <rPr>
        <sz val="10"/>
        <rFont val="Arial"/>
        <family val="0"/>
        <charset val="1"/>
      </rPr>
      <t xml:space="preserve">2002</t>
    </r>
    <r>
      <rPr>
        <sz val="10"/>
        <rFont val="Noto Sans CJK SC"/>
        <family val="2"/>
      </rPr>
      <t xml:space="preserve">〕</t>
    </r>
    <r>
      <rPr>
        <sz val="10"/>
        <rFont val="Arial"/>
        <family val="0"/>
        <charset val="1"/>
      </rPr>
      <t xml:space="preserve">10 </t>
    </r>
    <r>
      <rPr>
        <sz val="10"/>
        <rFont val="Noto Sans CJK SC"/>
        <family val="2"/>
      </rPr>
      <t xml:space="preserve">号</t>
    </r>
  </si>
  <si>
    <t xml:space="preserve">J5</t>
  </si>
  <si>
    <r>
      <rPr>
        <sz val="10"/>
        <rFont val="Noto Sans CJK SC"/>
        <family val="2"/>
      </rPr>
      <t xml:space="preserve">设计费率（占建安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设备）</t>
    </r>
  </si>
  <si>
    <r>
      <rPr>
        <sz val="10"/>
        <rFont val="Noto Sans CJK SC"/>
        <family val="2"/>
      </rPr>
      <t xml:space="preserve">计价格〔</t>
    </r>
    <r>
      <rPr>
        <sz val="10"/>
        <rFont val="Arial"/>
        <family val="0"/>
        <charset val="1"/>
      </rPr>
      <t xml:space="preserve">2002</t>
    </r>
    <r>
      <rPr>
        <sz val="10"/>
        <rFont val="Noto Sans CJK SC"/>
        <family val="2"/>
      </rPr>
      <t xml:space="preserve">〕</t>
    </r>
    <r>
      <rPr>
        <sz val="10"/>
        <rFont val="Arial"/>
        <family val="0"/>
        <charset val="1"/>
      </rPr>
      <t xml:space="preserve">10 </t>
    </r>
    <r>
      <rPr>
        <sz val="10"/>
        <rFont val="Noto Sans CJK SC"/>
        <family val="2"/>
      </rPr>
      <t xml:space="preserve">号累进法简化</t>
    </r>
  </si>
  <si>
    <t xml:space="preserve">J6</t>
  </si>
  <si>
    <t xml:space="preserve">可研报告编制费</t>
  </si>
  <si>
    <r>
      <rPr>
        <sz val="10"/>
        <rFont val="Noto Sans CJK SC"/>
        <family val="2"/>
      </rPr>
      <t xml:space="preserve">发改价格〔</t>
    </r>
    <r>
      <rPr>
        <sz val="10"/>
        <rFont val="Arial"/>
        <family val="0"/>
        <charset val="1"/>
      </rPr>
      <t xml:space="preserve">2015</t>
    </r>
    <r>
      <rPr>
        <sz val="10"/>
        <rFont val="Noto Sans CJK SC"/>
        <family val="2"/>
      </rPr>
      <t xml:space="preserve">〕</t>
    </r>
    <r>
      <rPr>
        <sz val="10"/>
        <rFont val="Arial"/>
        <family val="0"/>
        <charset val="1"/>
      </rPr>
      <t xml:space="preserve">299 </t>
    </r>
    <r>
      <rPr>
        <sz val="10"/>
        <rFont val="Noto Sans CJK SC"/>
        <family val="2"/>
      </rPr>
      <t xml:space="preserve">号 市场价</t>
    </r>
  </si>
  <si>
    <t xml:space="preserve">J7</t>
  </si>
  <si>
    <t xml:space="preserve">节能报告编制费</t>
  </si>
  <si>
    <t xml:space="preserve">按现行节能审查办法判断是否需要</t>
  </si>
  <si>
    <t xml:space="preserve">J8</t>
  </si>
  <si>
    <t xml:space="preserve">环评及其他专项评价费</t>
  </si>
  <si>
    <r>
      <rPr>
        <sz val="10"/>
        <rFont val="Noto Sans CJK SC"/>
        <family val="2"/>
      </rPr>
      <t xml:space="preserve">环评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劳动安全卫生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社稳等</t>
    </r>
  </si>
  <si>
    <t xml:space="preserve">J9</t>
  </si>
  <si>
    <t xml:space="preserve">招标代理费率（占工程费）</t>
  </si>
  <si>
    <t xml:space="preserve">J10</t>
  </si>
  <si>
    <t xml:space="preserve">场地准备及临时设施费率（占建安）</t>
  </si>
  <si>
    <t xml:space="preserve">J11</t>
  </si>
  <si>
    <r>
      <rPr>
        <sz val="10"/>
        <rFont val="Noto Sans CJK SC"/>
        <family val="2"/>
      </rPr>
      <t xml:space="preserve">工程保险费率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建安</t>
    </r>
  </si>
  <si>
    <r>
      <rPr>
        <sz val="10"/>
        <rFont val="Noto Sans CJK SC"/>
        <family val="2"/>
      </rPr>
      <t xml:space="preserve">建质〔</t>
    </r>
    <r>
      <rPr>
        <sz val="10"/>
        <rFont val="Arial"/>
        <family val="0"/>
        <charset val="1"/>
      </rPr>
      <t xml:space="preserve">2005</t>
    </r>
    <r>
      <rPr>
        <sz val="10"/>
        <rFont val="Noto Sans CJK SC"/>
        <family val="2"/>
      </rPr>
      <t xml:space="preserve">〕</t>
    </r>
    <r>
      <rPr>
        <sz val="10"/>
        <rFont val="Arial"/>
        <family val="0"/>
        <charset val="1"/>
      </rPr>
      <t xml:space="preserve">133 </t>
    </r>
    <r>
      <rPr>
        <sz val="10"/>
        <rFont val="Noto Sans CJK SC"/>
        <family val="2"/>
      </rPr>
      <t xml:space="preserve">号</t>
    </r>
  </si>
  <si>
    <t xml:space="preserve">J12</t>
  </si>
  <si>
    <r>
      <rPr>
        <sz val="10"/>
        <rFont val="Noto Sans CJK SC"/>
        <family val="2"/>
      </rPr>
      <t xml:space="preserve">工程保险费率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设备</t>
    </r>
  </si>
  <si>
    <t xml:space="preserve">J13</t>
  </si>
  <si>
    <t xml:space="preserve">联合试运转费率（占设备）</t>
  </si>
  <si>
    <t xml:space="preserve">J14</t>
  </si>
  <si>
    <t xml:space="preserve">竣工决算编制费率（占工程费）</t>
  </si>
  <si>
    <t xml:space="preserve">J15</t>
  </si>
  <si>
    <t xml:space="preserve">办公家具购置费</t>
  </si>
  <si>
    <t xml:space="preserve">递延资产</t>
  </si>
  <si>
    <t xml:space="preserve">J16</t>
  </si>
  <si>
    <t xml:space="preserve">职工培训费</t>
  </si>
  <si>
    <t xml:space="preserve">J17</t>
  </si>
  <si>
    <t xml:space="preserve">提前进场费</t>
  </si>
  <si>
    <t xml:space="preserve">J18</t>
  </si>
  <si>
    <r>
      <rPr>
        <sz val="10"/>
        <rFont val="Noto Sans CJK SC"/>
        <family val="2"/>
      </rPr>
      <t xml:space="preserve">基本预备费率（占工程费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其他费）</t>
    </r>
  </si>
  <si>
    <t xml:space="preserve">J19</t>
  </si>
  <si>
    <t xml:space="preserve">涨价预备费率</t>
  </si>
  <si>
    <t xml:space="preserve">国家现行规定可不计</t>
  </si>
  <si>
    <r>
      <rPr>
        <b val="true"/>
        <sz val="12"/>
        <rFont val="Arial"/>
        <family val="0"/>
        <charset val="1"/>
      </rPr>
      <t xml:space="preserve">K </t>
    </r>
    <r>
      <rPr>
        <b val="true"/>
        <sz val="12"/>
        <rFont val="Noto Sans CJK SC"/>
        <family val="2"/>
      </rPr>
      <t xml:space="preserve">运营年参数（按运营年 </t>
    </r>
    <r>
      <rPr>
        <b val="true"/>
        <sz val="12"/>
        <rFont val="Arial"/>
        <family val="0"/>
        <charset val="1"/>
      </rPr>
      <t xml:space="preserve">1–15 </t>
    </r>
    <r>
      <rPr>
        <b val="true"/>
        <sz val="12"/>
        <rFont val="Noto Sans CJK SC"/>
        <family val="2"/>
      </rPr>
      <t xml:space="preserve">填写；投产比例体现模块分期，售卖比例体现上架率）</t>
    </r>
  </si>
  <si>
    <t xml:space="preserve">说明</t>
  </si>
  <si>
    <r>
      <rPr>
        <b val="true"/>
        <sz val="10"/>
        <rFont val="Noto Sans CJK SC"/>
        <family val="2"/>
      </rPr>
      <t xml:space="preserve">运营</t>
    </r>
    <r>
      <rPr>
        <b val="true"/>
        <sz val="10"/>
        <rFont val="Arial"/>
        <family val="0"/>
        <charset val="1"/>
      </rPr>
      <t xml:space="preserve">1</t>
    </r>
  </si>
  <si>
    <r>
      <rPr>
        <b val="true"/>
        <sz val="10"/>
        <rFont val="Noto Sans CJK SC"/>
        <family val="2"/>
      </rPr>
      <t xml:space="preserve">运营</t>
    </r>
    <r>
      <rPr>
        <b val="true"/>
        <sz val="10"/>
        <rFont val="Arial"/>
        <family val="0"/>
        <charset val="1"/>
      </rPr>
      <t xml:space="preserve">2</t>
    </r>
  </si>
  <si>
    <r>
      <rPr>
        <b val="true"/>
        <sz val="10"/>
        <rFont val="Noto Sans CJK SC"/>
        <family val="2"/>
      </rPr>
      <t xml:space="preserve">运营</t>
    </r>
    <r>
      <rPr>
        <b val="true"/>
        <sz val="10"/>
        <rFont val="Arial"/>
        <family val="0"/>
        <charset val="1"/>
      </rPr>
      <t xml:space="preserve">3</t>
    </r>
  </si>
  <si>
    <r>
      <rPr>
        <b val="true"/>
        <sz val="10"/>
        <rFont val="Noto Sans CJK SC"/>
        <family val="2"/>
      </rPr>
      <t xml:space="preserve">运营</t>
    </r>
    <r>
      <rPr>
        <b val="true"/>
        <sz val="10"/>
        <rFont val="Arial"/>
        <family val="0"/>
        <charset val="1"/>
      </rPr>
      <t xml:space="preserve">4</t>
    </r>
  </si>
  <si>
    <r>
      <rPr>
        <b val="true"/>
        <sz val="10"/>
        <rFont val="Noto Sans CJK SC"/>
        <family val="2"/>
      </rPr>
      <t xml:space="preserve">运营</t>
    </r>
    <r>
      <rPr>
        <b val="true"/>
        <sz val="10"/>
        <rFont val="Arial"/>
        <family val="0"/>
        <charset val="1"/>
      </rPr>
      <t xml:space="preserve">5</t>
    </r>
  </si>
  <si>
    <r>
      <rPr>
        <b val="true"/>
        <sz val="10"/>
        <rFont val="Noto Sans CJK SC"/>
        <family val="2"/>
      </rPr>
      <t xml:space="preserve">运营</t>
    </r>
    <r>
      <rPr>
        <b val="true"/>
        <sz val="10"/>
        <rFont val="Arial"/>
        <family val="0"/>
        <charset val="1"/>
      </rPr>
      <t xml:space="preserve">6</t>
    </r>
  </si>
  <si>
    <r>
      <rPr>
        <b val="true"/>
        <sz val="10"/>
        <rFont val="Noto Sans CJK SC"/>
        <family val="2"/>
      </rPr>
      <t xml:space="preserve">运营</t>
    </r>
    <r>
      <rPr>
        <b val="true"/>
        <sz val="10"/>
        <rFont val="Arial"/>
        <family val="0"/>
        <charset val="1"/>
      </rPr>
      <t xml:space="preserve">7</t>
    </r>
  </si>
  <si>
    <r>
      <rPr>
        <b val="true"/>
        <sz val="10"/>
        <rFont val="Noto Sans CJK SC"/>
        <family val="2"/>
      </rPr>
      <t xml:space="preserve">运营</t>
    </r>
    <r>
      <rPr>
        <b val="true"/>
        <sz val="10"/>
        <rFont val="Arial"/>
        <family val="0"/>
        <charset val="1"/>
      </rPr>
      <t xml:space="preserve">8</t>
    </r>
  </si>
  <si>
    <r>
      <rPr>
        <b val="true"/>
        <sz val="10"/>
        <rFont val="Noto Sans CJK SC"/>
        <family val="2"/>
      </rPr>
      <t xml:space="preserve">运营</t>
    </r>
    <r>
      <rPr>
        <b val="true"/>
        <sz val="10"/>
        <rFont val="Arial"/>
        <family val="0"/>
        <charset val="1"/>
      </rPr>
      <t xml:space="preserve">9</t>
    </r>
  </si>
  <si>
    <r>
      <rPr>
        <b val="true"/>
        <sz val="10"/>
        <rFont val="Noto Sans CJK SC"/>
        <family val="2"/>
      </rPr>
      <t xml:space="preserve">运营</t>
    </r>
    <r>
      <rPr>
        <b val="true"/>
        <sz val="10"/>
        <rFont val="Arial"/>
        <family val="0"/>
        <charset val="1"/>
      </rPr>
      <t xml:space="preserve">10</t>
    </r>
  </si>
  <si>
    <r>
      <rPr>
        <b val="true"/>
        <sz val="10"/>
        <rFont val="Noto Sans CJK SC"/>
        <family val="2"/>
      </rPr>
      <t xml:space="preserve">运营</t>
    </r>
    <r>
      <rPr>
        <b val="true"/>
        <sz val="10"/>
        <rFont val="Arial"/>
        <family val="0"/>
        <charset val="1"/>
      </rPr>
      <t xml:space="preserve">11</t>
    </r>
  </si>
  <si>
    <r>
      <rPr>
        <b val="true"/>
        <sz val="10"/>
        <rFont val="Noto Sans CJK SC"/>
        <family val="2"/>
      </rPr>
      <t xml:space="preserve">运营</t>
    </r>
    <r>
      <rPr>
        <b val="true"/>
        <sz val="10"/>
        <rFont val="Arial"/>
        <family val="0"/>
        <charset val="1"/>
      </rPr>
      <t xml:space="preserve">12</t>
    </r>
  </si>
  <si>
    <r>
      <rPr>
        <b val="true"/>
        <sz val="10"/>
        <rFont val="Noto Sans CJK SC"/>
        <family val="2"/>
      </rPr>
      <t xml:space="preserve">运营</t>
    </r>
    <r>
      <rPr>
        <b val="true"/>
        <sz val="10"/>
        <rFont val="Arial"/>
        <family val="0"/>
        <charset val="1"/>
      </rPr>
      <t xml:space="preserve">13</t>
    </r>
  </si>
  <si>
    <r>
      <rPr>
        <b val="true"/>
        <sz val="10"/>
        <rFont val="Noto Sans CJK SC"/>
        <family val="2"/>
      </rPr>
      <t xml:space="preserve">运营</t>
    </r>
    <r>
      <rPr>
        <b val="true"/>
        <sz val="10"/>
        <rFont val="Arial"/>
        <family val="0"/>
        <charset val="1"/>
      </rPr>
      <t xml:space="preserve">14</t>
    </r>
  </si>
  <si>
    <r>
      <rPr>
        <b val="true"/>
        <sz val="10"/>
        <rFont val="Noto Sans CJK SC"/>
        <family val="2"/>
      </rPr>
      <t xml:space="preserve">运营</t>
    </r>
    <r>
      <rPr>
        <b val="true"/>
        <sz val="10"/>
        <rFont val="Arial"/>
        <family val="0"/>
        <charset val="1"/>
      </rPr>
      <t xml:space="preserve">15</t>
    </r>
  </si>
  <si>
    <t xml:space="preserve">K1</t>
  </si>
  <si>
    <r>
      <rPr>
        <sz val="10"/>
        <rFont val="Noto Sans CJK SC"/>
        <family val="2"/>
      </rPr>
      <t xml:space="preserve">投产比例（已投运模块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一期模块）</t>
    </r>
  </si>
  <si>
    <r>
      <rPr>
        <sz val="10"/>
        <rFont val="Noto Sans CJK SC"/>
        <family val="2"/>
      </rPr>
      <t xml:space="preserve">分期投产在此体现，如 </t>
    </r>
    <r>
      <rPr>
        <sz val="10"/>
        <rFont val="Arial"/>
        <family val="0"/>
        <charset val="1"/>
      </rPr>
      <t xml:space="preserve">0.5, 1.0, 1.0…</t>
    </r>
    <r>
      <rPr>
        <sz val="10"/>
        <rFont val="Noto Sans CJK SC"/>
        <family val="2"/>
      </rPr>
      <t xml:space="preserve">；须非递减（校核 </t>
    </r>
    <r>
      <rPr>
        <sz val="10"/>
        <rFont val="Arial"/>
        <family val="0"/>
        <charset val="1"/>
      </rPr>
      <t xml:space="preserve">C8</t>
    </r>
    <r>
      <rPr>
        <sz val="10"/>
        <rFont val="Noto Sans CJK SC"/>
        <family val="2"/>
      </rPr>
      <t xml:space="preserve">）</t>
    </r>
  </si>
  <si>
    <t xml:space="preserve">K2</t>
  </si>
  <si>
    <t xml:space="preserve">售卖比例（上架率，基准值）</t>
  </si>
  <si>
    <r>
      <rPr>
        <sz val="10"/>
        <rFont val="Noto Sans CJK SC"/>
        <family val="2"/>
      </rPr>
      <t xml:space="preserve">【业主提供】范例口径：第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年 </t>
    </r>
    <r>
      <rPr>
        <sz val="10"/>
        <rFont val="Arial"/>
        <family val="0"/>
        <charset val="1"/>
      </rPr>
      <t xml:space="preserve">80%</t>
    </r>
    <r>
      <rPr>
        <sz val="10"/>
        <rFont val="Noto Sans CJK SC"/>
        <family val="2"/>
      </rPr>
      <t xml:space="preserve">，第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年起 </t>
    </r>
    <r>
      <rPr>
        <sz val="10"/>
        <rFont val="Arial"/>
        <family val="0"/>
        <charset val="1"/>
      </rPr>
      <t xml:space="preserve">90%</t>
    </r>
  </si>
  <si>
    <t xml:space="preserve">K3</t>
  </si>
  <si>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运行负载率</t>
    </r>
  </si>
  <si>
    <t xml:space="preserve">已售单元的平均功率负载率，用于电量计算</t>
  </si>
  <si>
    <t xml:space="preserve">K4</t>
  </si>
  <si>
    <t xml:space="preserve">硬件维保费率（占算力设备原值）</t>
  </si>
  <si>
    <r>
      <rPr>
        <sz val="10"/>
        <rFont val="Noto Sans CJK SC"/>
        <family val="2"/>
      </rPr>
      <t xml:space="preserve">范例口径：前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年质保期内为 </t>
    </r>
    <r>
      <rPr>
        <sz val="10"/>
        <rFont val="Arial"/>
        <family val="0"/>
        <charset val="1"/>
      </rPr>
      <t xml:space="preserve">0</t>
    </r>
  </si>
  <si>
    <r>
      <rPr>
        <b val="true"/>
        <sz val="10"/>
        <color rgb="FFC00000"/>
        <rFont val="Noto Sans CJK SC"/>
        <family val="2"/>
      </rPr>
      <t xml:space="preserve">注：本页示例数值仅示意（规模与费率参照阳高范例口径），套用新项目时逐项替换，并在</t>
    </r>
    <r>
      <rPr>
        <b val="true"/>
        <sz val="10"/>
        <color rgb="FFC00000"/>
        <rFont val="Arial"/>
        <family val="0"/>
        <charset val="1"/>
      </rPr>
      <t xml:space="preserve">'</t>
    </r>
    <r>
      <rPr>
        <b val="true"/>
        <sz val="10"/>
        <color rgb="FFC00000"/>
        <rFont val="Noto Sans CJK SC"/>
        <family val="2"/>
      </rPr>
      <t xml:space="preserve">来源</t>
    </r>
    <r>
      <rPr>
        <b val="true"/>
        <sz val="10"/>
        <color rgb="FFC00000"/>
        <rFont val="Arial"/>
        <family val="0"/>
        <charset val="1"/>
      </rPr>
      <t xml:space="preserve">/</t>
    </r>
    <r>
      <rPr>
        <b val="true"/>
        <sz val="10"/>
        <color rgb="FFC00000"/>
        <rFont val="Noto Sans CJK SC"/>
        <family val="2"/>
      </rPr>
      <t xml:space="preserve">说明</t>
    </r>
    <r>
      <rPr>
        <b val="true"/>
        <sz val="10"/>
        <color rgb="FFC00000"/>
        <rFont val="Arial"/>
        <family val="0"/>
        <charset val="1"/>
      </rPr>
      <t xml:space="preserve">'</t>
    </r>
    <r>
      <rPr>
        <b val="true"/>
        <sz val="10"/>
        <color rgb="FFC00000"/>
        <rFont val="Noto Sans CJK SC"/>
        <family val="2"/>
      </rPr>
      <t xml:space="preserve">列注明依据文件。</t>
    </r>
  </si>
  <si>
    <r>
      <rPr>
        <b val="true"/>
        <sz val="14"/>
        <rFont val="Noto Sans CJK SC"/>
        <family val="2"/>
      </rPr>
      <t xml:space="preserve">附表 </t>
    </r>
    <r>
      <rPr>
        <b val="true"/>
        <sz val="14"/>
        <rFont val="Arial"/>
        <family val="0"/>
        <charset val="1"/>
      </rPr>
      <t xml:space="preserve">1 </t>
    </r>
    <r>
      <rPr>
        <b val="true"/>
        <sz val="14"/>
        <rFont val="Noto Sans CJK SC"/>
        <family val="2"/>
      </rPr>
      <t xml:space="preserve">总投资估算表</t>
    </r>
  </si>
  <si>
    <r>
      <rPr>
        <sz val="10"/>
        <rFont val="Noto Sans CJK SC"/>
        <family val="2"/>
      </rPr>
      <t xml:space="preserve">单位：万元（人民币，含税）。第一部分来自附表 </t>
    </r>
    <r>
      <rPr>
        <sz val="10"/>
        <rFont val="Arial"/>
        <family val="0"/>
        <charset val="1"/>
      </rPr>
      <t xml:space="preserve">1-1 / 1-2</t>
    </r>
    <r>
      <rPr>
        <sz val="10"/>
        <rFont val="Noto Sans CJK SC"/>
        <family val="2"/>
      </rPr>
      <t xml:space="preserve">；其他费用按参数 </t>
    </r>
    <r>
      <rPr>
        <sz val="10"/>
        <rFont val="Arial"/>
        <family val="0"/>
        <charset val="1"/>
      </rPr>
      <t xml:space="preserve">J </t>
    </r>
    <r>
      <rPr>
        <sz val="10"/>
        <rFont val="Noto Sans CJK SC"/>
        <family val="2"/>
      </rPr>
      <t xml:space="preserve">组费率；建设期利息来自附表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；铺底流动资金来自附表 </t>
    </r>
    <r>
      <rPr>
        <sz val="10"/>
        <rFont val="Arial"/>
        <family val="0"/>
        <charset val="1"/>
      </rPr>
      <t xml:space="preserve">2</t>
    </r>
  </si>
  <si>
    <t xml:space="preserve">工程或费用名称</t>
  </si>
  <si>
    <t xml:space="preserve">建筑工程</t>
  </si>
  <si>
    <t xml:space="preserve">安装工程</t>
  </si>
  <si>
    <t xml:space="preserve">设备购置</t>
  </si>
  <si>
    <t xml:space="preserve">其他费用</t>
  </si>
  <si>
    <t xml:space="preserve">合计</t>
  </si>
  <si>
    <t xml:space="preserve">占总投资</t>
  </si>
  <si>
    <r>
      <rPr>
        <b val="true"/>
        <sz val="10"/>
        <rFont val="Noto Sans CJK SC"/>
        <family val="2"/>
      </rPr>
      <t xml:space="preserve">资产归类 </t>
    </r>
    <r>
      <rPr>
        <b val="true"/>
        <sz val="10"/>
        <rFont val="Arial"/>
        <family val="0"/>
        <charset val="1"/>
      </rPr>
      <t xml:space="preserve">/ </t>
    </r>
    <r>
      <rPr>
        <b val="true"/>
        <sz val="10"/>
        <rFont val="Noto Sans CJK SC"/>
        <family val="2"/>
      </rPr>
      <t xml:space="preserve">说明</t>
    </r>
  </si>
  <si>
    <t xml:space="preserve">一</t>
  </si>
  <si>
    <t xml:space="preserve">第一部分 建设工程费用</t>
  </si>
  <si>
    <t xml:space="preserve">设备及软件工程</t>
  </si>
  <si>
    <r>
      <rPr>
        <sz val="10"/>
        <rFont val="Noto Sans CJK SC"/>
        <family val="2"/>
      </rPr>
      <t xml:space="preserve">固定资产（分算力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基础设施两类，见附表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）</t>
    </r>
  </si>
  <si>
    <t xml:space="preserve">建筑安装工程</t>
  </si>
  <si>
    <t xml:space="preserve">固定资产（建筑类）</t>
  </si>
  <si>
    <t xml:space="preserve">二</t>
  </si>
  <si>
    <t xml:space="preserve">第二部分 工程建设其他费用</t>
  </si>
  <si>
    <t xml:space="preserve">固定资产</t>
  </si>
  <si>
    <t xml:space="preserve">建设单位管理费</t>
  </si>
  <si>
    <t xml:space="preserve">工程监理费</t>
  </si>
  <si>
    <t xml:space="preserve">勘察费</t>
  </si>
  <si>
    <t xml:space="preserve">设计费</t>
  </si>
  <si>
    <t xml:space="preserve">可行性研究报告编制费</t>
  </si>
  <si>
    <t xml:space="preserve">2.7</t>
  </si>
  <si>
    <t xml:space="preserve">2.8</t>
  </si>
  <si>
    <t xml:space="preserve">2.9</t>
  </si>
  <si>
    <t xml:space="preserve">招标代理费</t>
  </si>
  <si>
    <t xml:space="preserve">2.10</t>
  </si>
  <si>
    <t xml:space="preserve">场地准备及临时设施费</t>
  </si>
  <si>
    <t xml:space="preserve">2.11</t>
  </si>
  <si>
    <t xml:space="preserve">工程保险费</t>
  </si>
  <si>
    <t xml:space="preserve">2.12</t>
  </si>
  <si>
    <t xml:space="preserve">联合试运转费</t>
  </si>
  <si>
    <t xml:space="preserve">2.13</t>
  </si>
  <si>
    <t xml:space="preserve">竣工决算编制费</t>
  </si>
  <si>
    <t xml:space="preserve">2.14</t>
  </si>
  <si>
    <t xml:space="preserve">2.15</t>
  </si>
  <si>
    <t xml:space="preserve">2.16</t>
  </si>
  <si>
    <t xml:space="preserve">2.17</t>
  </si>
  <si>
    <t xml:space="preserve">其他（预留）</t>
  </si>
  <si>
    <t xml:space="preserve">三</t>
  </si>
  <si>
    <t xml:space="preserve">第三部分 预备费</t>
  </si>
  <si>
    <t xml:space="preserve">基本预备费</t>
  </si>
  <si>
    <t xml:space="preserve">涨价预备费</t>
  </si>
  <si>
    <t xml:space="preserve">四</t>
  </si>
  <si>
    <r>
      <rPr>
        <b val="true"/>
        <sz val="10"/>
        <rFont val="Noto Sans CJK SC"/>
        <family val="2"/>
      </rPr>
      <t xml:space="preserve">工程建设投资（建设投资）</t>
    </r>
    <r>
      <rPr>
        <b val="true"/>
        <sz val="10"/>
        <rFont val="Arial"/>
        <family val="0"/>
        <charset val="1"/>
      </rPr>
      <t xml:space="preserve">= </t>
    </r>
    <r>
      <rPr>
        <b val="true"/>
        <sz val="10"/>
        <rFont val="Noto Sans CJK SC"/>
        <family val="2"/>
      </rPr>
      <t xml:space="preserve">一 </t>
    </r>
    <r>
      <rPr>
        <b val="true"/>
        <sz val="10"/>
        <rFont val="Arial"/>
        <family val="0"/>
        <charset val="1"/>
      </rPr>
      <t xml:space="preserve">+ </t>
    </r>
    <r>
      <rPr>
        <b val="true"/>
        <sz val="10"/>
        <rFont val="Noto Sans CJK SC"/>
        <family val="2"/>
      </rPr>
      <t xml:space="preserve">二 </t>
    </r>
    <r>
      <rPr>
        <b val="true"/>
        <sz val="10"/>
        <rFont val="Arial"/>
        <family val="0"/>
        <charset val="1"/>
      </rPr>
      <t xml:space="preserve">+ </t>
    </r>
    <r>
      <rPr>
        <b val="true"/>
        <sz val="10"/>
        <rFont val="Noto Sans CJK SC"/>
        <family val="2"/>
      </rPr>
      <t xml:space="preserve">三</t>
    </r>
  </si>
  <si>
    <t xml:space="preserve">五</t>
  </si>
  <si>
    <t xml:space="preserve">固定资产（资本化）</t>
  </si>
  <si>
    <t xml:space="preserve">六</t>
  </si>
  <si>
    <r>
      <rPr>
        <b val="true"/>
        <sz val="10"/>
        <rFont val="Noto Sans CJK SC"/>
        <family val="2"/>
      </rPr>
      <t xml:space="preserve">固定资产投资 </t>
    </r>
    <r>
      <rPr>
        <b val="true"/>
        <sz val="10"/>
        <rFont val="Arial"/>
        <family val="0"/>
        <charset val="1"/>
      </rPr>
      <t xml:space="preserve">= </t>
    </r>
    <r>
      <rPr>
        <b val="true"/>
        <sz val="10"/>
        <rFont val="Noto Sans CJK SC"/>
        <family val="2"/>
      </rPr>
      <t xml:space="preserve">四 </t>
    </r>
    <r>
      <rPr>
        <b val="true"/>
        <sz val="10"/>
        <rFont val="Arial"/>
        <family val="0"/>
        <charset val="1"/>
      </rPr>
      <t xml:space="preserve">+ </t>
    </r>
    <r>
      <rPr>
        <b val="true"/>
        <sz val="10"/>
        <rFont val="Noto Sans CJK SC"/>
        <family val="2"/>
      </rPr>
      <t xml:space="preserve">五</t>
    </r>
  </si>
  <si>
    <t xml:space="preserve">七</t>
  </si>
  <si>
    <r>
      <rPr>
        <sz val="10"/>
        <rFont val="Noto Sans CJK SC"/>
        <family val="2"/>
      </rPr>
      <t xml:space="preserve">＝ 正常年流动资金 </t>
    </r>
    <r>
      <rPr>
        <sz val="10"/>
        <rFont val="Arial"/>
        <family val="0"/>
        <charset val="1"/>
      </rPr>
      <t xml:space="preserve">× (1 − </t>
    </r>
    <r>
      <rPr>
        <sz val="10"/>
        <rFont val="Noto Sans CJK SC"/>
        <family val="2"/>
      </rPr>
      <t xml:space="preserve">借款比例</t>
    </r>
    <r>
      <rPr>
        <sz val="10"/>
        <rFont val="Arial"/>
        <family val="0"/>
        <charset val="1"/>
      </rPr>
      <t xml:space="preserve">)</t>
    </r>
  </si>
  <si>
    <t xml:space="preserve">八</t>
  </si>
  <si>
    <r>
      <rPr>
        <b val="true"/>
        <sz val="10"/>
        <rFont val="Noto Sans CJK SC"/>
        <family val="2"/>
      </rPr>
      <t xml:space="preserve">项目总投资 </t>
    </r>
    <r>
      <rPr>
        <b val="true"/>
        <sz val="10"/>
        <rFont val="Arial"/>
        <family val="0"/>
        <charset val="1"/>
      </rPr>
      <t xml:space="preserve">= </t>
    </r>
    <r>
      <rPr>
        <b val="true"/>
        <sz val="10"/>
        <rFont val="Noto Sans CJK SC"/>
        <family val="2"/>
      </rPr>
      <t xml:space="preserve">六 </t>
    </r>
    <r>
      <rPr>
        <b val="true"/>
        <sz val="10"/>
        <rFont val="Arial"/>
        <family val="0"/>
        <charset val="1"/>
      </rPr>
      <t xml:space="preserve">+ </t>
    </r>
    <r>
      <rPr>
        <b val="true"/>
        <sz val="10"/>
        <rFont val="Noto Sans CJK SC"/>
        <family val="2"/>
      </rPr>
      <t xml:space="preserve">七</t>
    </r>
  </si>
  <si>
    <t xml:space="preserve">构成比例</t>
  </si>
  <si>
    <r>
      <rPr>
        <b val="true"/>
        <sz val="12"/>
        <rFont val="Noto Sans CJK SC"/>
        <family val="2"/>
      </rPr>
      <t xml:space="preserve">辅助计算（供附表 </t>
    </r>
    <r>
      <rPr>
        <b val="true"/>
        <sz val="12"/>
        <rFont val="Arial"/>
        <family val="0"/>
        <charset val="1"/>
      </rPr>
      <t xml:space="preserve">5 / 6 </t>
    </r>
    <r>
      <rPr>
        <b val="true"/>
        <sz val="12"/>
        <rFont val="Noto Sans CJK SC"/>
        <family val="2"/>
      </rPr>
      <t xml:space="preserve">使用）</t>
    </r>
  </si>
  <si>
    <r>
      <rPr>
        <sz val="10"/>
        <rFont val="Noto Sans CJK SC"/>
        <family val="2"/>
      </rPr>
      <t xml:space="preserve">可抵扣进项税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设备</t>
    </r>
  </si>
  <si>
    <r>
      <rPr>
        <sz val="10"/>
        <rFont val="Noto Sans CJK SC"/>
        <family val="2"/>
      </rPr>
      <t xml:space="preserve">可抵扣进项税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建安</t>
    </r>
  </si>
  <si>
    <t xml:space="preserve">可抵扣进项税合计（运营期初留抵）</t>
  </si>
  <si>
    <t xml:space="preserve">其他费用中计入固定资产部分</t>
  </si>
  <si>
    <t xml:space="preserve">其他费用中计入递延资产部分</t>
  </si>
  <si>
    <t xml:space="preserve">算力设备直接费（含税）</t>
  </si>
  <si>
    <t xml:space="preserve">基础设施设备直接费（含税）</t>
  </si>
  <si>
    <r>
      <rPr>
        <sz val="10"/>
        <rFont val="Noto Sans CJK SC"/>
        <family val="2"/>
      </rPr>
      <t xml:space="preserve">建筑类直接费（含税）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建安合计</t>
    </r>
  </si>
  <si>
    <r>
      <rPr>
        <b val="true"/>
        <sz val="14"/>
        <rFont val="Noto Sans CJK SC"/>
        <family val="2"/>
      </rPr>
      <t xml:space="preserve">附表 </t>
    </r>
    <r>
      <rPr>
        <b val="true"/>
        <sz val="14"/>
        <rFont val="Arial"/>
        <family val="0"/>
        <charset val="1"/>
      </rPr>
      <t xml:space="preserve">1-1 </t>
    </r>
    <r>
      <rPr>
        <b val="true"/>
        <sz val="14"/>
        <rFont val="Noto Sans CJK SC"/>
        <family val="2"/>
      </rPr>
      <t xml:space="preserve">建筑安装工程费用估算表</t>
    </r>
  </si>
  <si>
    <r>
      <rPr>
        <sz val="10"/>
        <rFont val="Noto Sans CJK SC"/>
        <family val="2"/>
      </rPr>
      <t xml:space="preserve">单位：万元（人民币，含税）。</t>
    </r>
    <r>
      <rPr>
        <sz val="10"/>
        <rFont val="Arial"/>
        <family val="0"/>
        <charset val="1"/>
      </rPr>
      <t xml:space="preserve">MDC </t>
    </r>
    <r>
      <rPr>
        <sz val="10"/>
        <rFont val="Noto Sans CJK SC"/>
        <family val="2"/>
      </rPr>
      <t xml:space="preserve">项目建安只剩配套用房、模块基础、场地、管廊、外线</t>
    </r>
  </si>
  <si>
    <t xml:space="preserve">工程名称</t>
  </si>
  <si>
    <t xml:space="preserve">数量</t>
  </si>
  <si>
    <t xml:space="preserve">单价（万元）</t>
  </si>
  <si>
    <t xml:space="preserve">类型</t>
  </si>
  <si>
    <t xml:space="preserve">备注</t>
  </si>
  <si>
    <t xml:space="preserve">配套运维用房 土建（含装饰）</t>
  </si>
  <si>
    <t xml:space="preserve">建筑</t>
  </si>
  <si>
    <r>
      <rPr>
        <sz val="10"/>
        <rFont val="Noto Sans CJK SC"/>
        <family val="2"/>
      </rPr>
      <t xml:space="preserve">面积联动参数 </t>
    </r>
    <r>
      <rPr>
        <sz val="10"/>
        <rFont val="Arial"/>
        <family val="0"/>
        <charset val="1"/>
      </rPr>
      <t xml:space="preserve">C2</t>
    </r>
    <r>
      <rPr>
        <sz val="10"/>
        <rFont val="Noto Sans CJK SC"/>
        <family val="2"/>
      </rPr>
      <t xml:space="preserve">；示例 </t>
    </r>
    <r>
      <rPr>
        <sz val="10"/>
        <rFont val="Arial"/>
        <family val="0"/>
        <charset val="1"/>
      </rPr>
      <t xml:space="preserve">4500 </t>
    </r>
    <r>
      <rPr>
        <sz val="10"/>
        <rFont val="Noto Sans CJK SC"/>
        <family val="2"/>
      </rPr>
      <t xml:space="preserve">元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㎡</t>
    </r>
  </si>
  <si>
    <r>
      <rPr>
        <sz val="10"/>
        <rFont val="Noto Sans CJK SC"/>
        <family val="2"/>
      </rPr>
      <t xml:space="preserve">配套运维用房 机电安装（给排水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电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暖通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弱电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消防）</t>
    </r>
  </si>
  <si>
    <t xml:space="preserve">安装</t>
  </si>
  <si>
    <r>
      <rPr>
        <sz val="10"/>
        <rFont val="Noto Sans CJK SC"/>
        <family val="2"/>
      </rPr>
      <t xml:space="preserve">示例 </t>
    </r>
    <r>
      <rPr>
        <sz val="10"/>
        <rFont val="Arial"/>
        <family val="0"/>
        <charset val="1"/>
      </rPr>
      <t xml:space="preserve">800 </t>
    </r>
    <r>
      <rPr>
        <sz val="10"/>
        <rFont val="Noto Sans CJK SC"/>
        <family val="2"/>
      </rPr>
      <t xml:space="preserve">元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㎡</t>
    </r>
  </si>
  <si>
    <t xml:space="preserve">柴发房</t>
  </si>
  <si>
    <t xml:space="preserve">示例</t>
  </si>
  <si>
    <r>
      <rPr>
        <sz val="10"/>
        <rFont val="Noto Sans CJK SC"/>
        <family val="2"/>
      </rPr>
      <t xml:space="preserve">模块基础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钢平台</t>
    </r>
  </si>
  <si>
    <r>
      <rPr>
        <sz val="10"/>
        <rFont val="Noto Sans CJK SC"/>
        <family val="2"/>
      </rPr>
      <t xml:space="preserve">按模块满载重量与冻深设计；数量联动 </t>
    </r>
    <r>
      <rPr>
        <sz val="10"/>
        <rFont val="Arial"/>
        <family val="0"/>
        <charset val="1"/>
      </rPr>
      <t xml:space="preserve">B1</t>
    </r>
  </si>
  <si>
    <t xml:space="preserve">电力舱、冷源模块基础</t>
  </si>
  <si>
    <t xml:space="preserve">座</t>
  </si>
  <si>
    <t xml:space="preserve">场地道路与硬化（含吊装场地）</t>
  </si>
  <si>
    <r>
      <rPr>
        <sz val="10"/>
        <rFont val="Noto Sans CJK SC"/>
        <family val="2"/>
      </rPr>
      <t xml:space="preserve">示例 </t>
    </r>
    <r>
      <rPr>
        <sz val="10"/>
        <rFont val="Arial"/>
        <family val="0"/>
        <charset val="1"/>
      </rPr>
      <t xml:space="preserve">180 </t>
    </r>
    <r>
      <rPr>
        <sz val="10"/>
        <rFont val="Noto Sans CJK SC"/>
        <family val="2"/>
      </rPr>
      <t xml:space="preserve">元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㎡</t>
    </r>
  </si>
  <si>
    <t xml:space="preserve">7</t>
  </si>
  <si>
    <r>
      <rPr>
        <sz val="10"/>
        <rFont val="Noto Sans CJK SC"/>
        <family val="2"/>
      </rPr>
      <t xml:space="preserve">综合管廊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管线</t>
    </r>
  </si>
  <si>
    <t xml:space="preserve">m</t>
  </si>
  <si>
    <r>
      <rPr>
        <sz val="10"/>
        <rFont val="Noto Sans CJK SC"/>
        <family val="2"/>
      </rPr>
      <t xml:space="preserve">示例 </t>
    </r>
    <r>
      <rPr>
        <sz val="10"/>
        <rFont val="Arial"/>
        <family val="0"/>
        <charset val="1"/>
      </rPr>
      <t xml:space="preserve">2000 </t>
    </r>
    <r>
      <rPr>
        <sz val="10"/>
        <rFont val="Noto Sans CJK SC"/>
        <family val="2"/>
      </rPr>
      <t xml:space="preserve">元</t>
    </r>
    <r>
      <rPr>
        <sz val="10"/>
        <rFont val="Arial"/>
        <family val="0"/>
        <charset val="1"/>
      </rPr>
      <t xml:space="preserve">/m</t>
    </r>
  </si>
  <si>
    <t xml:space="preserve">8</t>
  </si>
  <si>
    <r>
      <rPr>
        <sz val="10"/>
        <rFont val="Noto Sans CJK SC"/>
        <family val="2"/>
      </rPr>
      <t xml:space="preserve">外线接入工程（</t>
    </r>
    <r>
      <rPr>
        <sz val="10"/>
        <rFont val="Arial"/>
        <family val="0"/>
        <charset val="1"/>
      </rPr>
      <t xml:space="preserve">10kV/35kV </t>
    </r>
    <r>
      <rPr>
        <sz val="10"/>
        <rFont val="Noto Sans CJK SC"/>
        <family val="2"/>
      </rPr>
      <t xml:space="preserve">线路、开关站）</t>
    </r>
  </si>
  <si>
    <t xml:space="preserve">项</t>
  </si>
  <si>
    <t xml:space="preserve">按供电方案；常为关键路径</t>
  </si>
  <si>
    <t xml:space="preserve">9</t>
  </si>
  <si>
    <t xml:space="preserve">消防水池、泵房及室外消防</t>
  </si>
  <si>
    <t xml:space="preserve">可与海绵调蓄合建</t>
  </si>
  <si>
    <t xml:space="preserve">10</t>
  </si>
  <si>
    <t xml:space="preserve">海绵城市设施（透水铺装、调蓄）</t>
  </si>
  <si>
    <t xml:space="preserve">按地方专项规划要求</t>
  </si>
  <si>
    <t xml:space="preserve">11</t>
  </si>
  <si>
    <t xml:space="preserve">围墙、大门、绿化</t>
  </si>
  <si>
    <t xml:space="preserve">建安工程合计</t>
  </si>
  <si>
    <r>
      <rPr>
        <b val="true"/>
        <sz val="14"/>
        <rFont val="Noto Sans CJK SC"/>
        <family val="2"/>
      </rPr>
      <t xml:space="preserve">附表 </t>
    </r>
    <r>
      <rPr>
        <b val="true"/>
        <sz val="14"/>
        <rFont val="Arial"/>
        <family val="0"/>
        <charset val="1"/>
      </rPr>
      <t xml:space="preserve">1-2 </t>
    </r>
    <r>
      <rPr>
        <b val="true"/>
        <sz val="14"/>
        <rFont val="Noto Sans CJK SC"/>
        <family val="2"/>
      </rPr>
      <t xml:space="preserve">设备及软件工程投资估算表</t>
    </r>
  </si>
  <si>
    <r>
      <rPr>
        <sz val="10"/>
        <rFont val="Noto Sans CJK SC"/>
        <family val="2"/>
      </rPr>
      <t xml:space="preserve">单位：万元（人民币，含税）。</t>
    </r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块价格由业主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算力运营方提供（黄底），</t>
    </r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</rPr>
      <t xml:space="preserve">块为我方基础设施口径。金额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数量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单价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敏感性系数</t>
    </r>
  </si>
  <si>
    <t xml:space="preserve">设备名称</t>
  </si>
  <si>
    <t xml:space="preserve">单价（万元，含税）</t>
  </si>
  <si>
    <t xml:space="preserve">金额（万元）</t>
  </si>
  <si>
    <t xml:space="preserve">资产类别</t>
  </si>
  <si>
    <r>
      <rPr>
        <b val="true"/>
        <sz val="10"/>
        <rFont val="Noto Sans CJK SC"/>
        <family val="2"/>
      </rPr>
      <t xml:space="preserve">来源 </t>
    </r>
    <r>
      <rPr>
        <b val="true"/>
        <sz val="10"/>
        <rFont val="Arial"/>
        <family val="0"/>
        <charset val="1"/>
      </rPr>
      <t xml:space="preserve">/ </t>
    </r>
    <r>
      <rPr>
        <b val="true"/>
        <sz val="10"/>
        <rFont val="Noto Sans CJK SC"/>
        <family val="2"/>
      </rPr>
      <t xml:space="preserve">备注</t>
    </r>
  </si>
  <si>
    <t xml:space="preserve">A</t>
  </si>
  <si>
    <t xml:space="preserve">算力设备（价格：业主提供）</t>
  </si>
  <si>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服务器（</t>
    </r>
    <r>
      <rPr>
        <sz val="10"/>
        <rFont val="Arial"/>
        <family val="0"/>
        <charset val="1"/>
      </rPr>
      <t xml:space="preserve">8 </t>
    </r>
    <r>
      <rPr>
        <sz val="10"/>
        <rFont val="Noto Sans CJK SC"/>
        <family val="2"/>
      </rPr>
      <t xml:space="preserve">卡）</t>
    </r>
  </si>
  <si>
    <t xml:space="preserve">算力设备</t>
  </si>
  <si>
    <r>
      <rPr>
        <sz val="10"/>
        <rFont val="Noto Sans CJK SC"/>
        <family val="2"/>
      </rPr>
      <t xml:space="preserve">【业主提供】业主采购意向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报价单；数量联动参数 </t>
    </r>
    <r>
      <rPr>
        <sz val="10"/>
        <rFont val="Arial"/>
        <family val="0"/>
        <charset val="1"/>
      </rPr>
      <t xml:space="preserve">B6</t>
    </r>
  </si>
  <si>
    <r>
      <rPr>
        <sz val="10"/>
        <rFont val="Noto Sans CJK SC"/>
        <family val="2"/>
      </rPr>
      <t xml:space="preserve">算力网络设备（</t>
    </r>
    <r>
      <rPr>
        <sz val="10"/>
        <rFont val="Arial"/>
        <family val="0"/>
        <charset val="1"/>
      </rPr>
      <t xml:space="preserve">IB/RoCE </t>
    </r>
    <r>
      <rPr>
        <sz val="10"/>
        <rFont val="Noto Sans CJK SC"/>
        <family val="2"/>
      </rPr>
      <t xml:space="preserve">交换机、线缆）</t>
    </r>
  </si>
  <si>
    <t xml:space="preserve">【业主提供】业主提供</t>
  </si>
  <si>
    <r>
      <rPr>
        <sz val="10"/>
        <rFont val="Noto Sans CJK SC"/>
        <family val="2"/>
      </rPr>
      <t xml:space="preserve">存储设备（全闪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海量）</t>
    </r>
  </si>
  <si>
    <t xml:space="preserve">安全设备（含等保测评）</t>
  </si>
  <si>
    <t xml:space="preserve">计算平台软件</t>
  </si>
  <si>
    <r>
      <rPr>
        <sz val="10"/>
        <rFont val="Noto Sans CJK SC"/>
        <family val="2"/>
      </rPr>
      <t xml:space="preserve">【业主提供】业主提供；软件维护费按此项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费率</t>
    </r>
  </si>
  <si>
    <t xml:space="preserve">系统集成与过程管理</t>
  </si>
  <si>
    <r>
      <rPr>
        <b val="true"/>
        <sz val="10"/>
        <rFont val="Arial"/>
        <family val="0"/>
        <charset val="1"/>
      </rPr>
      <t xml:space="preserve">A </t>
    </r>
    <r>
      <rPr>
        <b val="true"/>
        <sz val="10"/>
        <rFont val="Noto Sans CJK SC"/>
        <family val="2"/>
      </rPr>
      <t xml:space="preserve">小计 算力设备</t>
    </r>
  </si>
  <si>
    <t xml:space="preserve">B</t>
  </si>
  <si>
    <t xml:space="preserve">基础设施设备（我方口径）</t>
  </si>
  <si>
    <t xml:space="preserve">模块化算力单元（含内部配电、冷却分配、监控）</t>
  </si>
  <si>
    <t xml:space="preserve">基础设施设备</t>
  </si>
  <si>
    <r>
      <rPr>
        <sz val="10"/>
        <rFont val="Noto Sans CJK SC"/>
        <family val="2"/>
      </rPr>
      <t xml:space="preserve">数量联动参数 </t>
    </r>
    <r>
      <rPr>
        <sz val="10"/>
        <rFont val="Arial"/>
        <family val="0"/>
        <charset val="1"/>
      </rPr>
      <t xml:space="preserve">B1</t>
    </r>
    <r>
      <rPr>
        <sz val="10"/>
        <rFont val="Noto Sans CJK SC"/>
        <family val="2"/>
      </rPr>
      <t xml:space="preserve">；单价为我方概算口径（示例）</t>
    </r>
  </si>
  <si>
    <r>
      <rPr>
        <sz val="10"/>
        <rFont val="Noto Sans CJK SC"/>
        <family val="2"/>
      </rPr>
      <t xml:space="preserve">预制式电力舱（中压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变配电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低压）</t>
    </r>
  </si>
  <si>
    <r>
      <rPr>
        <sz val="10"/>
        <rFont val="Noto Sans CJK SC"/>
        <family val="2"/>
      </rPr>
      <t xml:space="preserve">一体化外部冷源模块（工厂 </t>
    </r>
    <r>
      <rPr>
        <sz val="10"/>
        <rFont val="Arial"/>
        <family val="0"/>
        <charset val="1"/>
      </rPr>
      <t xml:space="preserve">FAT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</si>
  <si>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UPS </t>
    </r>
    <r>
      <rPr>
        <sz val="10"/>
        <rFont val="Noto Sans CJK SC"/>
        <family val="2"/>
      </rPr>
      <t xml:space="preserve">系统（含电池）</t>
    </r>
  </si>
  <si>
    <r>
      <rPr>
        <sz val="10"/>
        <rFont val="Noto Sans CJK SC"/>
        <family val="2"/>
      </rPr>
      <t xml:space="preserve">如采用 </t>
    </r>
    <r>
      <rPr>
        <sz val="10"/>
        <rFont val="Arial"/>
        <family val="0"/>
        <charset val="1"/>
      </rPr>
      <t xml:space="preserve">BESS </t>
    </r>
    <r>
      <rPr>
        <sz val="10"/>
        <rFont val="Noto Sans CJK SC"/>
        <family val="2"/>
      </rPr>
      <t xml:space="preserve">路线在此替换</t>
    </r>
  </si>
  <si>
    <t xml:space="preserve">柴油发电机组</t>
  </si>
  <si>
    <r>
      <rPr>
        <sz val="10"/>
        <rFont val="Noto Sans CJK SC"/>
        <family val="2"/>
      </rPr>
      <t xml:space="preserve">是否配置走等级论证（</t>
    </r>
    <r>
      <rPr>
        <sz val="10"/>
        <rFont val="Arial"/>
        <family val="0"/>
        <charset val="1"/>
      </rPr>
      <t xml:space="preserve">P </t>
    </r>
    <r>
      <rPr>
        <sz val="10"/>
        <rFont val="Noto Sans CJK SC"/>
        <family val="2"/>
      </rPr>
      <t xml:space="preserve">系列）</t>
    </r>
  </si>
  <si>
    <r>
      <rPr>
        <sz val="10"/>
        <rFont val="Arial"/>
        <family val="0"/>
        <charset val="1"/>
      </rPr>
      <t xml:space="preserve">DCIM / </t>
    </r>
    <r>
      <rPr>
        <sz val="10"/>
        <rFont val="Noto Sans CJK SC"/>
        <family val="2"/>
      </rPr>
      <t xml:space="preserve">弱电智能化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安防</t>
    </r>
  </si>
  <si>
    <t xml:space="preserve">机柜及其他配套</t>
  </si>
  <si>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小计 基础设施设备</t>
    </r>
  </si>
  <si>
    <t xml:space="preserve">设备及软件工程合计</t>
  </si>
  <si>
    <r>
      <rPr>
        <b val="true"/>
        <sz val="10"/>
        <color rgb="FFC00000"/>
        <rFont val="Noto Sans CJK SC"/>
        <family val="2"/>
      </rPr>
      <t xml:space="preserve">注：可研正文设备方案只写通用工程口径（单模块 </t>
    </r>
    <r>
      <rPr>
        <b val="true"/>
        <sz val="10"/>
        <color rgb="FFC00000"/>
        <rFont val="Arial"/>
        <family val="0"/>
        <charset val="1"/>
      </rPr>
      <t xml:space="preserve">IT </t>
    </r>
    <r>
      <rPr>
        <b val="true"/>
        <sz val="10"/>
        <color rgb="FFC00000"/>
        <rFont val="Noto Sans CJK SC"/>
        <family val="2"/>
      </rPr>
      <t xml:space="preserve">功率、冷却方式、外形</t>
    </r>
    <r>
      <rPr>
        <b val="true"/>
        <sz val="10"/>
        <color rgb="FFC00000"/>
        <rFont val="Arial"/>
        <family val="0"/>
        <charset val="1"/>
      </rPr>
      <t xml:space="preserve">/</t>
    </r>
    <r>
      <rPr>
        <b val="true"/>
        <sz val="10"/>
        <color rgb="FFC00000"/>
        <rFont val="Noto Sans CJK SC"/>
        <family val="2"/>
      </rPr>
      <t xml:space="preserve">重量）；产品商品名与型号只在本表出现一次。</t>
    </r>
  </si>
  <si>
    <r>
      <rPr>
        <b val="true"/>
        <sz val="14"/>
        <rFont val="Noto Sans CJK SC"/>
        <family val="2"/>
      </rPr>
      <t xml:space="preserve">附表 </t>
    </r>
    <r>
      <rPr>
        <b val="true"/>
        <sz val="14"/>
        <rFont val="Arial"/>
        <family val="0"/>
        <charset val="1"/>
      </rPr>
      <t xml:space="preserve">2 </t>
    </r>
    <r>
      <rPr>
        <b val="true"/>
        <sz val="14"/>
        <rFont val="Noto Sans CJK SC"/>
        <family val="2"/>
      </rPr>
      <t xml:space="preserve">流动资金估算表（分项详细估算法）</t>
    </r>
  </si>
  <si>
    <r>
      <rPr>
        <sz val="10"/>
        <rFont val="Noto Sans CJK SC"/>
        <family val="2"/>
      </rPr>
      <t xml:space="preserve">单位：万元。周转次数 </t>
    </r>
    <r>
      <rPr>
        <sz val="10"/>
        <rFont val="Arial"/>
        <family val="0"/>
        <charset val="1"/>
      </rPr>
      <t xml:space="preserve">= 360 / </t>
    </r>
    <r>
      <rPr>
        <sz val="10"/>
        <rFont val="Noto Sans CJK SC"/>
        <family val="2"/>
      </rPr>
      <t xml:space="preserve">周转天数；铺底流动资金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正常年流动资金 </t>
    </r>
    <r>
      <rPr>
        <sz val="10"/>
        <rFont val="Arial"/>
        <family val="0"/>
        <charset val="1"/>
      </rPr>
      <t xml:space="preserve">× (1 − </t>
    </r>
    <r>
      <rPr>
        <sz val="10"/>
        <rFont val="Noto Sans CJK SC"/>
        <family val="2"/>
      </rPr>
      <t xml:space="preserve">流动资金借款比例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</si>
  <si>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项目 </t>
    </r>
    <r>
      <rPr>
        <b val="true"/>
        <sz val="10"/>
        <rFont val="Arial"/>
        <family val="0"/>
        <charset val="1"/>
      </rPr>
      <t xml:space="preserve">\ </t>
    </r>
    <r>
      <rPr>
        <b val="true"/>
        <sz val="10"/>
        <rFont val="Noto Sans CJK SC"/>
        <family val="2"/>
      </rPr>
      <t xml:space="preserve">年份</t>
    </r>
  </si>
  <si>
    <r>
      <rPr>
        <b val="true"/>
        <sz val="10"/>
        <rFont val="Noto Sans CJK SC"/>
        <family val="2"/>
      </rPr>
      <t xml:space="preserve">单位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说明</t>
    </r>
  </si>
  <si>
    <r>
      <rPr>
        <b val="true"/>
        <sz val="10"/>
        <rFont val="Noto Sans CJK SC"/>
        <family val="2"/>
      </rPr>
      <t xml:space="preserve">合计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平均</t>
    </r>
  </si>
  <si>
    <t xml:space="preserve">阶段</t>
  </si>
  <si>
    <t xml:space="preserve">运营年序号</t>
  </si>
  <si>
    <t xml:space="preserve">建设年序号</t>
  </si>
  <si>
    <t xml:space="preserve">应收账款</t>
  </si>
  <si>
    <t xml:space="preserve">存货（外购燃料动力）</t>
  </si>
  <si>
    <r>
      <rPr>
        <sz val="10"/>
        <rFont val="Noto Sans CJK SC"/>
        <family val="2"/>
      </rPr>
      <t xml:space="preserve">现金（工资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其他管理费）</t>
    </r>
  </si>
  <si>
    <t xml:space="preserve">流动资产合计</t>
  </si>
  <si>
    <r>
      <rPr>
        <sz val="10"/>
        <rFont val="Noto Sans CJK SC"/>
        <family val="2"/>
      </rPr>
      <t xml:space="preserve">应付账款（燃料动力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专线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外包）</t>
    </r>
  </si>
  <si>
    <t xml:space="preserve">流动负债合计</t>
  </si>
  <si>
    <r>
      <rPr>
        <b val="true"/>
        <sz val="10"/>
        <rFont val="Noto Sans CJK SC"/>
        <family val="2"/>
      </rPr>
      <t xml:space="preserve">流动资金 </t>
    </r>
    <r>
      <rPr>
        <b val="true"/>
        <sz val="10"/>
        <rFont val="Arial"/>
        <family val="0"/>
        <charset val="1"/>
      </rPr>
      <t xml:space="preserve">= 1 − 2</t>
    </r>
  </si>
  <si>
    <t xml:space="preserve">流动资金本年增加额</t>
  </si>
  <si>
    <r>
      <rPr>
        <b val="true"/>
        <sz val="10"/>
        <rFont val="Noto Sans CJK SC"/>
        <family val="2"/>
      </rPr>
      <t xml:space="preserve">正常年流动资金 </t>
    </r>
    <r>
      <rPr>
        <b val="true"/>
        <sz val="10"/>
        <rFont val="Arial"/>
        <family val="0"/>
        <charset val="1"/>
      </rPr>
      <t xml:space="preserve">= </t>
    </r>
    <r>
      <rPr>
        <b val="true"/>
        <sz val="10"/>
        <rFont val="Noto Sans CJK SC"/>
        <family val="2"/>
      </rPr>
      <t xml:space="preserve">运营第 </t>
    </r>
    <r>
      <rPr>
        <b val="true"/>
        <sz val="10"/>
        <rFont val="Arial"/>
        <family val="0"/>
        <charset val="1"/>
      </rPr>
      <t xml:space="preserve">A10 </t>
    </r>
    <r>
      <rPr>
        <b val="true"/>
        <sz val="10"/>
        <rFont val="Noto Sans CJK SC"/>
        <family val="2"/>
      </rPr>
      <t xml:space="preserve">年</t>
    </r>
  </si>
  <si>
    <r>
      <rPr>
        <b val="true"/>
        <sz val="10"/>
        <rFont val="Noto Sans CJK SC"/>
        <family val="2"/>
      </rPr>
      <t xml:space="preserve">铺底流动资金 </t>
    </r>
    <r>
      <rPr>
        <b val="true"/>
        <sz val="10"/>
        <rFont val="Arial"/>
        <family val="0"/>
        <charset val="1"/>
      </rPr>
      <t xml:space="preserve">= </t>
    </r>
    <r>
      <rPr>
        <b val="true"/>
        <sz val="10"/>
        <rFont val="Noto Sans CJK SC"/>
        <family val="2"/>
      </rPr>
      <t xml:space="preserve">正常年流动资金 </t>
    </r>
    <r>
      <rPr>
        <b val="true"/>
        <sz val="10"/>
        <rFont val="Arial"/>
        <family val="0"/>
        <charset val="1"/>
      </rPr>
      <t xml:space="preserve">× (1 − </t>
    </r>
    <r>
      <rPr>
        <b val="true"/>
        <sz val="10"/>
        <rFont val="Noto Sans CJK SC"/>
        <family val="2"/>
      </rPr>
      <t xml:space="preserve">借款比例</t>
    </r>
    <r>
      <rPr>
        <b val="true"/>
        <sz val="10"/>
        <rFont val="Arial"/>
        <family val="0"/>
        <charset val="1"/>
      </rPr>
      <t xml:space="preserve">)</t>
    </r>
  </si>
  <si>
    <t xml:space="preserve">流动资金借款本年增加</t>
  </si>
  <si>
    <t xml:space="preserve">流动资金自有资金本年增加</t>
  </si>
  <si>
    <r>
      <rPr>
        <sz val="10"/>
        <rFont val="Noto Sans CJK SC"/>
        <family val="2"/>
      </rPr>
      <t xml:space="preserve">计算期末回收流动资金（供附表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）</t>
    </r>
  </si>
  <si>
    <r>
      <rPr>
        <b val="true"/>
        <sz val="14"/>
        <rFont val="Noto Sans CJK SC"/>
        <family val="2"/>
      </rPr>
      <t xml:space="preserve">附表 </t>
    </r>
    <r>
      <rPr>
        <b val="true"/>
        <sz val="14"/>
        <rFont val="Arial"/>
        <family val="0"/>
        <charset val="1"/>
      </rPr>
      <t xml:space="preserve">3 </t>
    </r>
    <r>
      <rPr>
        <b val="true"/>
        <sz val="14"/>
        <rFont val="Noto Sans CJK SC"/>
        <family val="2"/>
      </rPr>
      <t xml:space="preserve">投资使用计划与资金筹措表</t>
    </r>
  </si>
  <si>
    <r>
      <rPr>
        <sz val="10"/>
        <rFont val="Noto Sans CJK SC"/>
        <family val="2"/>
      </rPr>
      <t xml:space="preserve">单位：万元。建设投资按参数 </t>
    </r>
    <r>
      <rPr>
        <sz val="10"/>
        <rFont val="Arial"/>
        <family val="0"/>
        <charset val="1"/>
      </rPr>
      <t xml:space="preserve">A6–A8 </t>
    </r>
    <r>
      <rPr>
        <sz val="10"/>
        <rFont val="Noto Sans CJK SC"/>
        <family val="2"/>
      </rPr>
      <t xml:space="preserve">比例分年投入；资本金优先用于建设投资，其余为长期借款</t>
    </r>
  </si>
  <si>
    <t xml:space="preserve">建设投资年投入比例</t>
  </si>
  <si>
    <t xml:space="preserve">建设投资</t>
  </si>
  <si>
    <t xml:space="preserve">建设期借款利息</t>
  </si>
  <si>
    <t xml:space="preserve">新增流动资金</t>
  </si>
  <si>
    <t xml:space="preserve">总资金（含全部流动资金）</t>
  </si>
  <si>
    <t xml:space="preserve">2.1.1</t>
  </si>
  <si>
    <r>
      <rPr>
        <sz val="10"/>
        <rFont val="Noto Sans CJK SC"/>
        <family val="2"/>
      </rPr>
      <t xml:space="preserve">资本金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用于建设投资</t>
    </r>
  </si>
  <si>
    <t xml:space="preserve">2.1.2</t>
  </si>
  <si>
    <r>
      <rPr>
        <sz val="10"/>
        <rFont val="Noto Sans CJK SC"/>
        <family val="2"/>
      </rPr>
      <t xml:space="preserve">资本金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用于建设期利息</t>
    </r>
  </si>
  <si>
    <t xml:space="preserve">2.1.3</t>
  </si>
  <si>
    <r>
      <rPr>
        <sz val="10"/>
        <rFont val="Noto Sans CJK SC"/>
        <family val="2"/>
      </rPr>
      <t xml:space="preserve">资本金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用于流动资金</t>
    </r>
  </si>
  <si>
    <t xml:space="preserve">企业自筹资本金 小计</t>
  </si>
  <si>
    <t xml:space="preserve">2.2.1</t>
  </si>
  <si>
    <t xml:space="preserve">长期借款（建设投资）</t>
  </si>
  <si>
    <t xml:space="preserve">2.2.2</t>
  </si>
  <si>
    <t xml:space="preserve">长期借款（资本化建设期利息）</t>
  </si>
  <si>
    <t xml:space="preserve">2.2.3</t>
  </si>
  <si>
    <t xml:space="preserve">流动资金借款</t>
  </si>
  <si>
    <t xml:space="preserve">债务资金 小计</t>
  </si>
  <si>
    <t xml:space="preserve">资金筹措合计</t>
  </si>
  <si>
    <r>
      <rPr>
        <sz val="10"/>
        <rFont val="Noto Sans CJK SC"/>
        <family val="2"/>
      </rPr>
      <t xml:space="preserve">校核：筹措 − 总资金（应为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）</t>
    </r>
  </si>
  <si>
    <r>
      <rPr>
        <b val="true"/>
        <sz val="14"/>
        <rFont val="Noto Sans CJK SC"/>
        <family val="2"/>
      </rPr>
      <t xml:space="preserve">附表 </t>
    </r>
    <r>
      <rPr>
        <b val="true"/>
        <sz val="14"/>
        <rFont val="Arial"/>
        <family val="0"/>
        <charset val="1"/>
      </rPr>
      <t xml:space="preserve">4 </t>
    </r>
    <r>
      <rPr>
        <b val="true"/>
        <sz val="14"/>
        <rFont val="Noto Sans CJK SC"/>
        <family val="2"/>
      </rPr>
      <t xml:space="preserve">总成本费用估算表</t>
    </r>
  </si>
  <si>
    <t xml:space="preserve">单位：万元（人民币，不含税；含税输入按参数税率还原）</t>
  </si>
  <si>
    <t xml:space="preserve">投产比例</t>
  </si>
  <si>
    <t xml:space="preserve">售卖比例（含敏感性）</t>
  </si>
  <si>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年用电量</t>
    </r>
  </si>
  <si>
    <t xml:space="preserve">项目年总用电量</t>
  </si>
  <si>
    <t xml:space="preserve">年用水量</t>
  </si>
  <si>
    <t xml:space="preserve">专线及网络带宽费</t>
  </si>
  <si>
    <t xml:space="preserve">外购电力</t>
  </si>
  <si>
    <t xml:space="preserve">外购水</t>
  </si>
  <si>
    <t xml:space="preserve">外购燃料及动力 小计</t>
  </si>
  <si>
    <t xml:space="preserve">工资及福利费</t>
  </si>
  <si>
    <t xml:space="preserve">运维服务外包费</t>
  </si>
  <si>
    <t xml:space="preserve">硬件设备维保费</t>
  </si>
  <si>
    <t xml:space="preserve">软件更新维护费</t>
  </si>
  <si>
    <t xml:space="preserve">机电设备维护费</t>
  </si>
  <si>
    <t xml:space="preserve">其他管理费用</t>
  </si>
  <si>
    <r>
      <rPr>
        <b val="true"/>
        <sz val="10"/>
        <rFont val="Noto Sans CJK SC"/>
        <family val="2"/>
      </rPr>
      <t xml:space="preserve">经营成本 </t>
    </r>
    <r>
      <rPr>
        <b val="true"/>
        <sz val="10"/>
        <rFont val="Arial"/>
        <family val="0"/>
        <charset val="1"/>
      </rPr>
      <t xml:space="preserve">= 1~8</t>
    </r>
  </si>
  <si>
    <t xml:space="preserve">折旧费</t>
  </si>
  <si>
    <t xml:space="preserve">摊销费</t>
  </si>
  <si>
    <t xml:space="preserve">12</t>
  </si>
  <si>
    <r>
      <rPr>
        <sz val="10"/>
        <rFont val="Noto Sans CJK SC"/>
        <family val="2"/>
      </rPr>
      <t xml:space="preserve">利息支出（长期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流动资金借款）</t>
    </r>
  </si>
  <si>
    <t xml:space="preserve">13</t>
  </si>
  <si>
    <r>
      <rPr>
        <b val="true"/>
        <sz val="10"/>
        <rFont val="Noto Sans CJK SC"/>
        <family val="2"/>
      </rPr>
      <t xml:space="preserve">总成本费用 </t>
    </r>
    <r>
      <rPr>
        <b val="true"/>
        <sz val="10"/>
        <rFont val="Arial"/>
        <family val="0"/>
        <charset val="1"/>
      </rPr>
      <t xml:space="preserve">= 9 + 10 + 11 + 12</t>
    </r>
  </si>
  <si>
    <t xml:space="preserve">其中：可变成本（燃料动力）</t>
  </si>
  <si>
    <t xml:space="preserve">其中：固定成本</t>
  </si>
  <si>
    <r>
      <rPr>
        <sz val="10"/>
        <rFont val="Noto Sans CJK SC"/>
        <family val="2"/>
      </rPr>
      <t xml:space="preserve">经营进项税额（供附表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）</t>
    </r>
  </si>
  <si>
    <r>
      <rPr>
        <b val="true"/>
        <sz val="14"/>
        <rFont val="Noto Sans CJK SC"/>
        <family val="2"/>
      </rPr>
      <t xml:space="preserve">附表 </t>
    </r>
    <r>
      <rPr>
        <b val="true"/>
        <sz val="14"/>
        <rFont val="Arial"/>
        <family val="0"/>
        <charset val="1"/>
      </rPr>
      <t xml:space="preserve">5 </t>
    </r>
    <r>
      <rPr>
        <b val="true"/>
        <sz val="14"/>
        <rFont val="Noto Sans CJK SC"/>
        <family val="2"/>
      </rPr>
      <t xml:space="preserve">固定资产折旧与无形及递延资产摊销估算表</t>
    </r>
  </si>
  <si>
    <r>
      <rPr>
        <sz val="10"/>
        <rFont val="Noto Sans CJK SC"/>
        <family val="2"/>
      </rPr>
      <t xml:space="preserve">单位：万元。原值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直接费（按参数 </t>
    </r>
    <r>
      <rPr>
        <sz val="10"/>
        <rFont val="Arial"/>
        <family val="0"/>
        <charset val="1"/>
      </rPr>
      <t xml:space="preserve">F6 </t>
    </r>
    <r>
      <rPr>
        <sz val="10"/>
        <rFont val="Noto Sans CJK SC"/>
        <family val="2"/>
      </rPr>
      <t xml:space="preserve">决定是否扣减进项税）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分摊的其他费用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预备费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建设期利息（按直接费占比分摊）；分三类折旧年限</t>
    </r>
  </si>
  <si>
    <t xml:space="preserve">原值计算</t>
  </si>
  <si>
    <t xml:space="preserve">建筑类直接费（净税）</t>
  </si>
  <si>
    <t xml:space="preserve">基础设施设备直接费（净税）</t>
  </si>
  <si>
    <t xml:space="preserve">算力设备直接费（净税）</t>
  </si>
  <si>
    <r>
      <rPr>
        <sz val="10"/>
        <rFont val="Noto Sans CJK SC"/>
        <family val="2"/>
      </rPr>
      <t xml:space="preserve">待分摊费用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其他费用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固定资产</t>
    </r>
    <r>
      <rPr>
        <sz val="10"/>
        <rFont val="Arial"/>
        <family val="0"/>
        <charset val="1"/>
      </rPr>
      <t xml:space="preserve">) + </t>
    </r>
    <r>
      <rPr>
        <sz val="10"/>
        <rFont val="Noto Sans CJK SC"/>
        <family val="2"/>
      </rPr>
      <t xml:space="preserve">预备费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建设期利息</t>
    </r>
  </si>
  <si>
    <t xml:space="preserve">建筑类原值</t>
  </si>
  <si>
    <t xml:space="preserve">基础设施设备原值</t>
  </si>
  <si>
    <t xml:space="preserve">算力设备原值</t>
  </si>
  <si>
    <t xml:space="preserve">固定资产原值合计</t>
  </si>
  <si>
    <t xml:space="preserve">递延资产原值</t>
  </si>
  <si>
    <t xml:space="preserve">建筑类 折旧费</t>
  </si>
  <si>
    <t xml:space="preserve">建筑类 期末净值</t>
  </si>
  <si>
    <t xml:space="preserve">基础设施设备 折旧费</t>
  </si>
  <si>
    <t xml:space="preserve">基础设施设备 期末净值</t>
  </si>
  <si>
    <t xml:space="preserve">算力设备 折旧费</t>
  </si>
  <si>
    <t xml:space="preserve">算力设备 期末净值</t>
  </si>
  <si>
    <t xml:space="preserve">（预留）</t>
  </si>
  <si>
    <t xml:space="preserve">固定资产折旧费合计</t>
  </si>
  <si>
    <t xml:space="preserve">固定资产期末净值合计</t>
  </si>
  <si>
    <r>
      <rPr>
        <sz val="10"/>
        <rFont val="Noto Sans CJK SC"/>
        <family val="2"/>
      </rPr>
      <t xml:space="preserve">计算期末固定资产余值（供附表 </t>
    </r>
    <r>
      <rPr>
        <sz val="10"/>
        <rFont val="Arial"/>
        <family val="0"/>
        <charset val="1"/>
      </rPr>
      <t xml:space="preserve">8 </t>
    </r>
    <r>
      <rPr>
        <sz val="10"/>
        <rFont val="Noto Sans CJK SC"/>
        <family val="2"/>
      </rPr>
      <t xml:space="preserve">回收）</t>
    </r>
  </si>
  <si>
    <t xml:space="preserve">递延资产摊销费</t>
  </si>
  <si>
    <t xml:space="preserve">递延资产期末净值</t>
  </si>
  <si>
    <r>
      <rPr>
        <b val="true"/>
        <sz val="14"/>
        <rFont val="Noto Sans CJK SC"/>
        <family val="2"/>
      </rPr>
      <t xml:space="preserve">附表 </t>
    </r>
    <r>
      <rPr>
        <b val="true"/>
        <sz val="14"/>
        <rFont val="Arial"/>
        <family val="0"/>
        <charset val="1"/>
      </rPr>
      <t xml:space="preserve">6 </t>
    </r>
    <r>
      <rPr>
        <b val="true"/>
        <sz val="14"/>
        <rFont val="Noto Sans CJK SC"/>
        <family val="2"/>
      </rPr>
      <t xml:space="preserve">营业收入、增值税及税金附加估算表</t>
    </r>
  </si>
  <si>
    <r>
      <rPr>
        <sz val="10"/>
        <rFont val="Noto Sans CJK SC"/>
        <family val="2"/>
      </rPr>
      <t xml:space="preserve">单位：万元。收入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可售单元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投产比例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售卖比例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单价 </t>
    </r>
    <r>
      <rPr>
        <sz val="10"/>
        <rFont val="Arial"/>
        <family val="0"/>
        <charset val="1"/>
      </rPr>
      <t xml:space="preserve">× 12</t>
    </r>
    <r>
      <rPr>
        <sz val="10"/>
        <rFont val="Noto Sans CJK SC"/>
        <family val="2"/>
      </rPr>
      <t xml:space="preserve">；含税→不含税按参数 </t>
    </r>
    <r>
      <rPr>
        <sz val="10"/>
        <rFont val="Arial"/>
        <family val="0"/>
        <charset val="1"/>
      </rPr>
      <t xml:space="preserve">D4 </t>
    </r>
    <r>
      <rPr>
        <sz val="10"/>
        <rFont val="Noto Sans CJK SC"/>
        <family val="2"/>
      </rPr>
      <t xml:space="preserve">还原；增值税按销项 − 进项 − 期初留抵计算</t>
    </r>
  </si>
  <si>
    <t xml:space="preserve">可售计价单元（投运）</t>
  </si>
  <si>
    <t xml:space="preserve">售卖比例</t>
  </si>
  <si>
    <t xml:space="preserve">算力单价（含税）</t>
  </si>
  <si>
    <t xml:space="preserve">营业收入（含税）</t>
  </si>
  <si>
    <t xml:space="preserve">营业收入（不含税）</t>
  </si>
  <si>
    <t xml:space="preserve">增值税销项税额</t>
  </si>
  <si>
    <t xml:space="preserve">增值税进项税额（经营）</t>
  </si>
  <si>
    <t xml:space="preserve">期初留抵进项税额</t>
  </si>
  <si>
    <t xml:space="preserve">应纳增值税</t>
  </si>
  <si>
    <t xml:space="preserve">期末留抵进项税额</t>
  </si>
  <si>
    <r>
      <rPr>
        <b val="true"/>
        <sz val="10"/>
        <rFont val="Noto Sans CJK SC"/>
        <family val="2"/>
      </rPr>
      <t xml:space="preserve">税金及附加（城建税</t>
    </r>
    <r>
      <rPr>
        <b val="true"/>
        <sz val="10"/>
        <rFont val="Arial"/>
        <family val="0"/>
        <charset val="1"/>
      </rPr>
      <t xml:space="preserve">+</t>
    </r>
    <r>
      <rPr>
        <b val="true"/>
        <sz val="10"/>
        <rFont val="Noto Sans CJK SC"/>
        <family val="2"/>
      </rPr>
      <t xml:space="preserve">教育费附加</t>
    </r>
    <r>
      <rPr>
        <b val="true"/>
        <sz val="10"/>
        <rFont val="Arial"/>
        <family val="0"/>
        <charset val="1"/>
      </rPr>
      <t xml:space="preserve">+</t>
    </r>
    <r>
      <rPr>
        <b val="true"/>
        <sz val="10"/>
        <rFont val="Noto Sans CJK SC"/>
        <family val="2"/>
      </rPr>
      <t xml:space="preserve">地方教育附加）</t>
    </r>
  </si>
  <si>
    <r>
      <rPr>
        <b val="true"/>
        <sz val="14"/>
        <rFont val="Noto Sans CJK SC"/>
        <family val="2"/>
      </rPr>
      <t xml:space="preserve">附表 </t>
    </r>
    <r>
      <rPr>
        <b val="true"/>
        <sz val="14"/>
        <rFont val="Arial"/>
        <family val="0"/>
        <charset val="1"/>
      </rPr>
      <t xml:space="preserve">7 </t>
    </r>
    <r>
      <rPr>
        <b val="true"/>
        <sz val="14"/>
        <rFont val="Noto Sans CJK SC"/>
        <family val="2"/>
      </rPr>
      <t xml:space="preserve">利润与利润分配表</t>
    </r>
  </si>
  <si>
    <t xml:space="preserve">单位：万元</t>
  </si>
  <si>
    <t xml:space="preserve">税金及附加</t>
  </si>
  <si>
    <t xml:space="preserve">总成本费用</t>
  </si>
  <si>
    <t xml:space="preserve">补贴收入</t>
  </si>
  <si>
    <t xml:space="preserve">如有政府补贴按年填入（蓝字）</t>
  </si>
  <si>
    <r>
      <rPr>
        <b val="true"/>
        <sz val="10"/>
        <rFont val="Noto Sans CJK SC"/>
        <family val="2"/>
      </rPr>
      <t xml:space="preserve">利润总额 </t>
    </r>
    <r>
      <rPr>
        <b val="true"/>
        <sz val="10"/>
        <rFont val="Arial"/>
        <family val="0"/>
        <charset val="1"/>
      </rPr>
      <t xml:space="preserve">= 1 − 2 − 3 + 4</t>
    </r>
  </si>
  <si>
    <t xml:space="preserve">应纳税所得额（弥补以前年度亏损后）</t>
  </si>
  <si>
    <t xml:space="preserve">所得税</t>
  </si>
  <si>
    <r>
      <rPr>
        <b val="true"/>
        <sz val="10"/>
        <rFont val="Noto Sans CJK SC"/>
        <family val="2"/>
      </rPr>
      <t xml:space="preserve">净利润 </t>
    </r>
    <r>
      <rPr>
        <b val="true"/>
        <sz val="10"/>
        <rFont val="Arial"/>
        <family val="0"/>
        <charset val="1"/>
      </rPr>
      <t xml:space="preserve">= 5 − 7</t>
    </r>
  </si>
  <si>
    <t xml:space="preserve">提取法定盈余公积金</t>
  </si>
  <si>
    <t xml:space="preserve">累计盈余公积金</t>
  </si>
  <si>
    <t xml:space="preserve">可供投资者分配利润</t>
  </si>
  <si>
    <t xml:space="preserve">累计未分配利润</t>
  </si>
  <si>
    <r>
      <rPr>
        <sz val="10"/>
        <rFont val="Noto Sans CJK SC"/>
        <family val="2"/>
      </rPr>
      <t xml:space="preserve">息税前利润 </t>
    </r>
    <r>
      <rPr>
        <sz val="10"/>
        <rFont val="Arial"/>
        <family val="0"/>
        <charset val="1"/>
      </rPr>
      <t xml:space="preserve">EBIT = </t>
    </r>
    <r>
      <rPr>
        <sz val="10"/>
        <rFont val="Noto Sans CJK SC"/>
        <family val="2"/>
      </rPr>
      <t xml:space="preserve">利润总额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利息</t>
    </r>
  </si>
  <si>
    <r>
      <rPr>
        <sz val="10"/>
        <rFont val="Noto Sans CJK SC"/>
        <family val="2"/>
      </rPr>
      <t xml:space="preserve">调整所得税（供附表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）</t>
    </r>
    <r>
      <rPr>
        <sz val="10"/>
        <rFont val="Arial"/>
        <family val="0"/>
        <charset val="1"/>
      </rPr>
      <t xml:space="preserve">= EBIT × </t>
    </r>
    <r>
      <rPr>
        <sz val="10"/>
        <rFont val="Noto Sans CJK SC"/>
        <family val="2"/>
      </rPr>
      <t xml:space="preserve">税率</t>
    </r>
  </si>
  <si>
    <t xml:space="preserve">累计可弥补亏损额（负数表示尚有亏损未弥补）</t>
  </si>
  <si>
    <r>
      <rPr>
        <b val="true"/>
        <sz val="14"/>
        <rFont val="Noto Sans CJK SC"/>
        <family val="2"/>
      </rPr>
      <t xml:space="preserve">附表 </t>
    </r>
    <r>
      <rPr>
        <b val="true"/>
        <sz val="14"/>
        <rFont val="Arial"/>
        <family val="0"/>
        <charset val="1"/>
      </rPr>
      <t xml:space="preserve">8 </t>
    </r>
    <r>
      <rPr>
        <b val="true"/>
        <sz val="14"/>
        <rFont val="Noto Sans CJK SC"/>
        <family val="2"/>
      </rPr>
      <t xml:space="preserve">项目投资现金流量表（全部投资，不含融资）</t>
    </r>
  </si>
  <si>
    <r>
      <rPr>
        <sz val="10"/>
        <rFont val="Noto Sans CJK SC"/>
        <family val="2"/>
      </rPr>
      <t xml:space="preserve">单位：万元。</t>
    </r>
    <r>
      <rPr>
        <sz val="10"/>
        <rFont val="Arial"/>
        <family val="0"/>
        <charset val="1"/>
      </rPr>
      <t xml:space="preserve">IRR / NPV / </t>
    </r>
    <r>
      <rPr>
        <sz val="10"/>
        <rFont val="Noto Sans CJK SC"/>
        <family val="2"/>
      </rPr>
      <t xml:space="preserve">动态回收期由本表计算；</t>
    </r>
    <r>
      <rPr>
        <sz val="10"/>
        <rFont val="Arial"/>
        <family val="0"/>
        <charset val="1"/>
      </rPr>
      <t xml:space="preserve">BEP </t>
    </r>
    <r>
      <rPr>
        <sz val="10"/>
        <rFont val="Noto Sans CJK SC"/>
        <family val="2"/>
      </rPr>
      <t xml:space="preserve">取正常年</t>
    </r>
  </si>
  <si>
    <t xml:space="preserve">回收固定资产余值</t>
  </si>
  <si>
    <t xml:space="preserve">回收流动资金</t>
  </si>
  <si>
    <t xml:space="preserve">现金流入</t>
  </si>
  <si>
    <t xml:space="preserve">建设投资（不含建设期利息）</t>
  </si>
  <si>
    <t xml:space="preserve">流动资金</t>
  </si>
  <si>
    <t xml:space="preserve">经营成本</t>
  </si>
  <si>
    <t xml:space="preserve">维持运营投资</t>
  </si>
  <si>
    <t xml:space="preserve">如有中期设备更新在此填入</t>
  </si>
  <si>
    <t xml:space="preserve">现金流出</t>
  </si>
  <si>
    <t xml:space="preserve">所得税前净现金流量</t>
  </si>
  <si>
    <t xml:space="preserve">所得税前累计净现金流量</t>
  </si>
  <si>
    <t xml:space="preserve">调整所得税</t>
  </si>
  <si>
    <t xml:space="preserve">所得税后净现金流量</t>
  </si>
  <si>
    <t xml:space="preserve">所得税后累计净现金流量</t>
  </si>
  <si>
    <r>
      <rPr>
        <sz val="10"/>
        <rFont val="Noto Sans CJK SC"/>
        <family val="2"/>
      </rPr>
      <t xml:space="preserve">折现系数 </t>
    </r>
    <r>
      <rPr>
        <sz val="10"/>
        <rFont val="Arial"/>
        <family val="0"/>
        <charset val="1"/>
      </rPr>
      <t xml:space="preserve">1/(1+ic)^t</t>
    </r>
  </si>
  <si>
    <t xml:space="preserve">税前折现净现金流量</t>
  </si>
  <si>
    <t xml:space="preserve">税前累计折现净现金流量</t>
  </si>
  <si>
    <t xml:space="preserve">税后折现净现金流量</t>
  </si>
  <si>
    <t xml:space="preserve">税后累计折现净现金流量</t>
  </si>
  <si>
    <t xml:space="preserve">评价指标</t>
  </si>
  <si>
    <r>
      <rPr>
        <b val="true"/>
        <sz val="10"/>
        <rFont val="Noto Sans CJK SC"/>
        <family val="2"/>
      </rPr>
      <t xml:space="preserve">财务净现值（税前，</t>
    </r>
    <r>
      <rPr>
        <b val="true"/>
        <sz val="10"/>
        <rFont val="Arial"/>
        <family val="0"/>
        <charset val="1"/>
      </rPr>
      <t xml:space="preserve">ic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</si>
  <si>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财务净现值（税后，</t>
    </r>
    <r>
      <rPr>
        <b val="true"/>
        <sz val="10"/>
        <rFont val="Arial"/>
        <family val="0"/>
        <charset val="1"/>
      </rPr>
      <t xml:space="preserve">ic</t>
    </r>
    <r>
      <rPr>
        <b val="true"/>
        <sz val="10"/>
        <rFont val="Noto Sans CJK SC"/>
        <family val="2"/>
      </rPr>
      <t xml:space="preserve">）</t>
    </r>
  </si>
  <si>
    <t xml:space="preserve">静态投资回收期（税前，含建设期）</t>
  </si>
  <si>
    <t xml:space="preserve">静态投资回收期（税后，含建设期）</t>
  </si>
  <si>
    <r>
      <rPr>
        <b val="true"/>
        <sz val="10"/>
        <rFont val="Noto Sans CJK SC"/>
        <family val="2"/>
      </rPr>
      <t xml:space="preserve">盈亏平衡点（正常年，生产能力利用率）</t>
    </r>
    <r>
      <rPr>
        <b val="true"/>
        <sz val="10"/>
        <rFont val="Arial"/>
        <family val="0"/>
        <charset val="1"/>
      </rPr>
      <t xml:space="preserve">= </t>
    </r>
    <r>
      <rPr>
        <b val="true"/>
        <sz val="10"/>
        <rFont val="Noto Sans CJK SC"/>
        <family val="2"/>
      </rPr>
      <t xml:space="preserve">固定成本 </t>
    </r>
    <r>
      <rPr>
        <b val="true"/>
        <sz val="10"/>
        <rFont val="Arial"/>
        <family val="0"/>
        <charset val="1"/>
      </rPr>
      <t xml:space="preserve">/ (</t>
    </r>
    <r>
      <rPr>
        <b val="true"/>
        <sz val="10"/>
        <rFont val="Noto Sans CJK SC"/>
        <family val="2"/>
      </rPr>
      <t xml:space="preserve">收入 − 可变成本 − 税金附加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</si>
  <si>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投资利润率（平均年利润总额 </t>
    </r>
    <r>
      <rPr>
        <b val="true"/>
        <sz val="10"/>
        <rFont val="Arial"/>
        <family val="0"/>
        <charset val="1"/>
      </rPr>
      <t xml:space="preserve">/ </t>
    </r>
    <r>
      <rPr>
        <b val="true"/>
        <sz val="10"/>
        <rFont val="Noto Sans CJK SC"/>
        <family val="2"/>
      </rPr>
      <t xml:space="preserve">总投资）</t>
    </r>
  </si>
  <si>
    <r>
      <rPr>
        <b val="true"/>
        <sz val="10"/>
        <rFont val="Noto Sans CJK SC"/>
        <family val="2"/>
      </rPr>
      <t xml:space="preserve">投资利税率（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平均年利润总额 </t>
    </r>
    <r>
      <rPr>
        <b val="true"/>
        <sz val="10"/>
        <rFont val="Arial"/>
        <family val="0"/>
        <charset val="1"/>
      </rPr>
      <t xml:space="preserve">+ </t>
    </r>
    <r>
      <rPr>
        <b val="true"/>
        <sz val="10"/>
        <rFont val="Noto Sans CJK SC"/>
        <family val="2"/>
      </rPr>
      <t xml:space="preserve">税金附加 </t>
    </r>
    <r>
      <rPr>
        <b val="true"/>
        <sz val="10"/>
        <rFont val="Arial"/>
        <family val="0"/>
        <charset val="1"/>
      </rPr>
      <t xml:space="preserve">+ </t>
    </r>
    <r>
      <rPr>
        <b val="true"/>
        <sz val="10"/>
        <rFont val="Noto Sans CJK SC"/>
        <family val="2"/>
      </rPr>
      <t xml:space="preserve">应纳增值税</t>
    </r>
    <r>
      <rPr>
        <b val="true"/>
        <sz val="10"/>
        <rFont val="Arial"/>
        <family val="0"/>
        <charset val="1"/>
      </rPr>
      <t xml:space="preserve">) / </t>
    </r>
    <r>
      <rPr>
        <b val="true"/>
        <sz val="10"/>
        <rFont val="Noto Sans CJK SC"/>
        <family val="2"/>
      </rPr>
      <t xml:space="preserve">总投资）</t>
    </r>
  </si>
  <si>
    <r>
      <rPr>
        <b val="true"/>
        <sz val="14"/>
        <rFont val="Noto Sans CJK SC"/>
        <family val="2"/>
      </rPr>
      <t xml:space="preserve">附表 </t>
    </r>
    <r>
      <rPr>
        <b val="true"/>
        <sz val="14"/>
        <rFont val="Arial"/>
        <family val="0"/>
        <charset val="1"/>
      </rPr>
      <t xml:space="preserve">9 </t>
    </r>
    <r>
      <rPr>
        <b val="true"/>
        <sz val="14"/>
        <rFont val="Noto Sans CJK SC"/>
        <family val="2"/>
      </rPr>
      <t xml:space="preserve">财务计划现金流量表（含融资）</t>
    </r>
  </si>
  <si>
    <r>
      <rPr>
        <sz val="10"/>
        <rFont val="Noto Sans CJK SC"/>
        <family val="2"/>
      </rPr>
      <t xml:space="preserve">单位：万元。累计盈余资金须全程 ≥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（校核 </t>
    </r>
    <r>
      <rPr>
        <sz val="10"/>
        <rFont val="Arial"/>
        <family val="0"/>
        <charset val="1"/>
      </rPr>
      <t xml:space="preserve">C7</t>
    </r>
    <r>
      <rPr>
        <sz val="10"/>
        <rFont val="Noto Sans CJK SC"/>
        <family val="2"/>
      </rPr>
      <t xml:space="preserve">）</t>
    </r>
  </si>
  <si>
    <t xml:space="preserve">1.1.1</t>
  </si>
  <si>
    <t xml:space="preserve">1.1.2</t>
  </si>
  <si>
    <t xml:space="preserve">1.1.3</t>
  </si>
  <si>
    <t xml:space="preserve">经营活动现金流入</t>
  </si>
  <si>
    <t xml:space="preserve">1.2.1</t>
  </si>
  <si>
    <t xml:space="preserve">1.2.2</t>
  </si>
  <si>
    <t xml:space="preserve">1.2.3</t>
  </si>
  <si>
    <t xml:space="preserve">1.2.4</t>
  </si>
  <si>
    <t xml:space="preserve">1.2.5</t>
  </si>
  <si>
    <t xml:space="preserve">经营活动现金流出</t>
  </si>
  <si>
    <t xml:space="preserve">经营活动净现金流量</t>
  </si>
  <si>
    <t xml:space="preserve">投资活动净现金流量</t>
  </si>
  <si>
    <t xml:space="preserve">3.1.1</t>
  </si>
  <si>
    <t xml:space="preserve">项目资本金投入</t>
  </si>
  <si>
    <t xml:space="preserve">3.1.2</t>
  </si>
  <si>
    <t xml:space="preserve">建设投资借款（含资本化利息）</t>
  </si>
  <si>
    <t xml:space="preserve">3.1.3</t>
  </si>
  <si>
    <t xml:space="preserve">筹资活动现金流入</t>
  </si>
  <si>
    <t xml:space="preserve">3.2.1</t>
  </si>
  <si>
    <t xml:space="preserve">各种利息支出（含建设期）</t>
  </si>
  <si>
    <t xml:space="preserve">3.2.2</t>
  </si>
  <si>
    <t xml:space="preserve">偿还债务本金</t>
  </si>
  <si>
    <t xml:space="preserve">3.2.3</t>
  </si>
  <si>
    <t xml:space="preserve">应付利润（股利分配）</t>
  </si>
  <si>
    <t xml:space="preserve">筹资活动现金流出</t>
  </si>
  <si>
    <t xml:space="preserve">筹资活动净现金流量</t>
  </si>
  <si>
    <t xml:space="preserve">净现金流量</t>
  </si>
  <si>
    <t xml:space="preserve">累计盈余资金</t>
  </si>
  <si>
    <r>
      <rPr>
        <b val="true"/>
        <sz val="14"/>
        <rFont val="Noto Sans CJK SC"/>
        <family val="2"/>
      </rPr>
      <t xml:space="preserve">附表 </t>
    </r>
    <r>
      <rPr>
        <b val="true"/>
        <sz val="14"/>
        <rFont val="Arial"/>
        <family val="0"/>
        <charset val="1"/>
      </rPr>
      <t xml:space="preserve">10 </t>
    </r>
    <r>
      <rPr>
        <b val="true"/>
        <sz val="14"/>
        <rFont val="Noto Sans CJK SC"/>
        <family val="2"/>
      </rPr>
      <t xml:space="preserve">资产负债表（简化）</t>
    </r>
  </si>
  <si>
    <r>
      <rPr>
        <sz val="10"/>
        <rFont val="Noto Sans CJK SC"/>
        <family val="2"/>
      </rPr>
      <t xml:space="preserve">单位：万元。资产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负债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所有者权益，差额行应为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（校核 </t>
    </r>
    <r>
      <rPr>
        <sz val="10"/>
        <rFont val="Arial"/>
        <family val="0"/>
        <charset val="1"/>
      </rPr>
      <t xml:space="preserve">C6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</si>
  <si>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货币资金（累计盈余资金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现金周转）</t>
    </r>
  </si>
  <si>
    <t xml:space="preserve">存货</t>
  </si>
  <si>
    <t xml:space="preserve">在建工程（建设期累计投资含利息）</t>
  </si>
  <si>
    <t xml:space="preserve">固定资产净值</t>
  </si>
  <si>
    <t xml:space="preserve">递延资产净值</t>
  </si>
  <si>
    <t xml:space="preserve">资产总计</t>
  </si>
  <si>
    <t xml:space="preserve">流动负债（应付账款）</t>
  </si>
  <si>
    <t xml:space="preserve">建设投资借款余额</t>
  </si>
  <si>
    <t xml:space="preserve">流动资金借款余额</t>
  </si>
  <si>
    <t xml:space="preserve">负债小计</t>
  </si>
  <si>
    <t xml:space="preserve">资本金（累计）</t>
  </si>
  <si>
    <t xml:space="preserve">所有者权益小计</t>
  </si>
  <si>
    <t xml:space="preserve">负债及所有者权益总计</t>
  </si>
  <si>
    <r>
      <rPr>
        <sz val="10"/>
        <rFont val="Noto Sans CJK SC"/>
        <family val="2"/>
      </rPr>
      <t xml:space="preserve">校核：资产 − 负债 − 权益（应为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）</t>
    </r>
  </si>
  <si>
    <t xml:space="preserve">资产负债率</t>
  </si>
  <si>
    <r>
      <rPr>
        <b val="true"/>
        <sz val="14"/>
        <rFont val="Noto Sans CJK SC"/>
        <family val="2"/>
      </rPr>
      <t xml:space="preserve">附表 </t>
    </r>
    <r>
      <rPr>
        <b val="true"/>
        <sz val="14"/>
        <rFont val="Arial"/>
        <family val="0"/>
        <charset val="1"/>
      </rPr>
      <t xml:space="preserve">11 </t>
    </r>
    <r>
      <rPr>
        <b val="true"/>
        <sz val="14"/>
        <rFont val="Noto Sans CJK SC"/>
        <family val="2"/>
      </rPr>
      <t xml:space="preserve">借款还本付息计算表</t>
    </r>
  </si>
  <si>
    <r>
      <rPr>
        <sz val="10"/>
        <rFont val="Noto Sans CJK SC"/>
        <family val="2"/>
      </rPr>
      <t xml:space="preserve">单位：万元。建设期利息 </t>
    </r>
    <r>
      <rPr>
        <sz val="10"/>
        <rFont val="Arial"/>
        <family val="0"/>
        <charset val="1"/>
      </rPr>
      <t xml:space="preserve">= (</t>
    </r>
    <r>
      <rPr>
        <sz val="10"/>
        <rFont val="Noto Sans CJK SC"/>
        <family val="2"/>
      </rPr>
      <t xml:space="preserve">年初本息累计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本年借款</t>
    </r>
    <r>
      <rPr>
        <sz val="10"/>
        <rFont val="Arial"/>
        <family val="0"/>
        <charset val="1"/>
      </rPr>
      <t xml:space="preserve">/2) × </t>
    </r>
    <r>
      <rPr>
        <sz val="10"/>
        <rFont val="Noto Sans CJK SC"/>
        <family val="2"/>
      </rPr>
      <t xml:space="preserve">利率；运营期等额还本、利息照付；流动资金借款计算期末一次归还</t>
    </r>
  </si>
  <si>
    <t xml:space="preserve">长期借款 年初本息累计</t>
  </si>
  <si>
    <t xml:space="preserve">本年借款（建设投资部分）</t>
  </si>
  <si>
    <t xml:space="preserve">运营期利息</t>
  </si>
  <si>
    <t xml:space="preserve">还本</t>
  </si>
  <si>
    <t xml:space="preserve">期末本息累计（余额）</t>
  </si>
  <si>
    <t xml:space="preserve">运营期初长期借款本金（建设期末余额）</t>
  </si>
  <si>
    <t xml:space="preserve">流动资金借款 年初余额</t>
  </si>
  <si>
    <t xml:space="preserve">本年借款</t>
  </si>
  <si>
    <t xml:space="preserve">本年归还（计算期末）</t>
  </si>
  <si>
    <t xml:space="preserve">期末余额</t>
  </si>
  <si>
    <t xml:space="preserve">流动资金借款利息</t>
  </si>
  <si>
    <r>
      <rPr>
        <sz val="10"/>
        <rFont val="Noto Sans CJK SC"/>
        <family val="2"/>
      </rPr>
      <t xml:space="preserve">偿还借款本金的资金来源（净利润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折旧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摊销）</t>
    </r>
  </si>
  <si>
    <t xml:space="preserve">还本后资金余额</t>
  </si>
  <si>
    <r>
      <rPr>
        <sz val="10"/>
        <rFont val="Noto Sans CJK SC"/>
        <family val="2"/>
      </rPr>
      <t xml:space="preserve">利息备付率 </t>
    </r>
    <r>
      <rPr>
        <sz val="10"/>
        <rFont val="Arial"/>
        <family val="0"/>
        <charset val="1"/>
      </rPr>
      <t xml:space="preserve">= (</t>
    </r>
    <r>
      <rPr>
        <sz val="10"/>
        <rFont val="Noto Sans CJK SC"/>
        <family val="2"/>
      </rPr>
      <t xml:space="preserve">利润总额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利息</t>
    </r>
    <r>
      <rPr>
        <sz val="10"/>
        <rFont val="Arial"/>
        <family val="0"/>
        <charset val="1"/>
      </rPr>
      <t xml:space="preserve">) / </t>
    </r>
    <r>
      <rPr>
        <sz val="10"/>
        <rFont val="Noto Sans CJK SC"/>
        <family val="2"/>
      </rPr>
      <t xml:space="preserve">利息</t>
    </r>
  </si>
  <si>
    <r>
      <rPr>
        <sz val="10"/>
        <rFont val="Noto Sans CJK SC"/>
        <family val="2"/>
      </rPr>
      <t xml:space="preserve">偿债备付率 </t>
    </r>
    <r>
      <rPr>
        <sz val="10"/>
        <rFont val="Arial"/>
        <family val="0"/>
        <charset val="1"/>
      </rPr>
      <t xml:space="preserve">= (</t>
    </r>
    <r>
      <rPr>
        <sz val="10"/>
        <rFont val="Noto Sans CJK SC"/>
        <family val="2"/>
      </rPr>
      <t xml:space="preserve">利润总额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折旧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摊销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利息 − 所得税</t>
    </r>
    <r>
      <rPr>
        <sz val="10"/>
        <rFont val="Arial"/>
        <family val="0"/>
        <charset val="1"/>
      </rPr>
      <t xml:space="preserve">) / (</t>
    </r>
    <r>
      <rPr>
        <sz val="10"/>
        <rFont val="Noto Sans CJK SC"/>
        <family val="2"/>
      </rPr>
      <t xml:space="preserve">还本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付息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</si>
  <si>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运营期最低利息备付率 </t>
    </r>
    <r>
      <rPr>
        <b val="true"/>
        <sz val="10"/>
        <rFont val="Arial"/>
        <family val="0"/>
        <charset val="1"/>
      </rPr>
      <t xml:space="preserve">/ </t>
    </r>
    <r>
      <rPr>
        <b val="true"/>
        <sz val="10"/>
        <rFont val="Noto Sans CJK SC"/>
        <family val="2"/>
      </rPr>
      <t xml:space="preserve">偿债备付率</t>
    </r>
  </si>
  <si>
    <r>
      <rPr>
        <b val="true"/>
        <sz val="14"/>
        <rFont val="Noto Sans CJK SC"/>
        <family val="2"/>
      </rPr>
      <t xml:space="preserve">附表 </t>
    </r>
    <r>
      <rPr>
        <b val="true"/>
        <sz val="14"/>
        <rFont val="Arial"/>
        <family val="0"/>
        <charset val="1"/>
      </rPr>
      <t xml:space="preserve">12 </t>
    </r>
    <r>
      <rPr>
        <b val="true"/>
        <sz val="14"/>
        <rFont val="Noto Sans CJK SC"/>
        <family val="2"/>
      </rPr>
      <t xml:space="preserve">敏感性分析（单因素）</t>
    </r>
  </si>
  <si>
    <r>
      <rPr>
        <sz val="10"/>
        <rFont val="Noto Sans CJK SC"/>
        <family val="2"/>
      </rPr>
      <t xml:space="preserve">机制：</t>
    </r>
    <r>
      <rPr>
        <sz val="10"/>
        <rFont val="Arial"/>
        <family val="0"/>
        <charset val="1"/>
      </rPr>
      <t xml:space="preserve">C6:C10 </t>
    </r>
    <r>
      <rPr>
        <sz val="10"/>
        <rFont val="Noto Sans CJK SC"/>
        <family val="2"/>
      </rPr>
      <t xml:space="preserve">为五个因素的乘数（基准 </t>
    </r>
    <r>
      <rPr>
        <sz val="10"/>
        <rFont val="Arial"/>
        <family val="0"/>
        <charset val="1"/>
      </rPr>
      <t xml:space="preserve">1.00</t>
    </r>
    <r>
      <rPr>
        <sz val="10"/>
        <rFont val="Noto Sans CJK SC"/>
        <family val="2"/>
      </rPr>
      <t xml:space="preserve">），参数页 </t>
    </r>
    <r>
      <rPr>
        <sz val="10"/>
        <rFont val="Arial"/>
        <family val="0"/>
        <charset val="1"/>
      </rPr>
      <t xml:space="preserve">D2/D5–D8 </t>
    </r>
    <r>
      <rPr>
        <sz val="10"/>
        <rFont val="Noto Sans CJK SC"/>
        <family val="2"/>
      </rPr>
      <t xml:space="preserve">引用它们；下方各表为 </t>
    </r>
    <r>
      <rPr>
        <sz val="10"/>
        <rFont val="Arial"/>
        <family val="0"/>
        <charset val="1"/>
      </rPr>
      <t xml:space="preserve">Excel </t>
    </r>
    <r>
      <rPr>
        <sz val="10"/>
        <rFont val="Noto Sans CJK SC"/>
        <family val="2"/>
      </rPr>
      <t xml:space="preserve">数据表（模拟分析→数据表），</t>
    </r>
    <r>
      <rPr>
        <sz val="10"/>
        <rFont val="Arial"/>
        <family val="0"/>
        <charset val="1"/>
      </rPr>
      <t xml:space="preserve">Excel </t>
    </r>
    <r>
      <rPr>
        <sz val="10"/>
        <rFont val="Noto Sans CJK SC"/>
        <family val="2"/>
      </rPr>
      <t xml:space="preserve">打开后自动重算。注意：本页不可用 </t>
    </r>
    <r>
      <rPr>
        <sz val="10"/>
        <rFont val="Arial"/>
        <family val="0"/>
        <charset val="1"/>
      </rPr>
      <t xml:space="preserve">LibreOffice </t>
    </r>
    <r>
      <rPr>
        <sz val="10"/>
        <rFont val="Noto Sans CJK SC"/>
        <family val="2"/>
      </rPr>
      <t xml:space="preserve">另存，否则数据表失效</t>
    </r>
  </si>
  <si>
    <t xml:space="preserve">基准结果</t>
  </si>
  <si>
    <r>
      <rPr>
        <b val="true"/>
        <sz val="10"/>
        <rFont val="Noto Sans CJK SC"/>
        <family val="2"/>
      </rPr>
      <t xml:space="preserve">因素 </t>
    </r>
    <r>
      <rPr>
        <b val="true"/>
        <sz val="10"/>
        <rFont val="Arial"/>
        <family val="0"/>
        <charset val="1"/>
      </rPr>
      <t xml:space="preserve">/ </t>
    </r>
    <r>
      <rPr>
        <b val="true"/>
        <sz val="10"/>
        <rFont val="Noto Sans CJK SC"/>
        <family val="2"/>
      </rPr>
      <t xml:space="preserve">乘数（正常运行时全部保持 </t>
    </r>
    <r>
      <rPr>
        <b val="true"/>
        <sz val="10"/>
        <rFont val="Arial"/>
        <family val="0"/>
        <charset val="1"/>
      </rPr>
      <t xml:space="preserve">1.00</t>
    </r>
    <r>
      <rPr>
        <b val="true"/>
        <sz val="10"/>
        <rFont val="Noto Sans CJK SC"/>
        <family val="2"/>
      </rPr>
      <t xml:space="preserve">）</t>
    </r>
  </si>
  <si>
    <t xml:space="preserve">乘数</t>
  </si>
  <si>
    <t xml:space="preserve">基准值</t>
  </si>
  <si>
    <t xml:space="preserve">算力单价</t>
  </si>
  <si>
    <r>
      <rPr>
        <sz val="10"/>
        <rFont val="Noto Sans CJK SC"/>
        <family val="2"/>
      </rPr>
      <t xml:space="preserve">税后 </t>
    </r>
    <r>
      <rPr>
        <sz val="10"/>
        <rFont val="Arial"/>
        <family val="0"/>
        <charset val="1"/>
      </rPr>
      <t xml:space="preserve">IRR</t>
    </r>
  </si>
  <si>
    <t xml:space="preserve">售卖比例（上架率）</t>
  </si>
  <si>
    <r>
      <rPr>
        <sz val="10"/>
        <rFont val="Noto Sans CJK SC"/>
        <family val="2"/>
      </rPr>
      <t xml:space="preserve">税前 </t>
    </r>
    <r>
      <rPr>
        <sz val="10"/>
        <rFont val="Arial"/>
        <family val="0"/>
        <charset val="1"/>
      </rPr>
      <t xml:space="preserve">IRR</t>
    </r>
  </si>
  <si>
    <t xml:space="preserve">电价</t>
  </si>
  <si>
    <r>
      <rPr>
        <sz val="10"/>
        <rFont val="Noto Sans CJK SC"/>
        <family val="2"/>
      </rPr>
      <t xml:space="preserve">税后 </t>
    </r>
    <r>
      <rPr>
        <sz val="10"/>
        <rFont val="Arial"/>
        <family val="0"/>
        <charset val="1"/>
      </rPr>
      <t xml:space="preserve">NPV</t>
    </r>
    <r>
      <rPr>
        <sz val="10"/>
        <rFont val="Noto Sans CJK SC"/>
        <family val="2"/>
      </rPr>
      <t xml:space="preserve">（万元）</t>
    </r>
  </si>
  <si>
    <t xml:space="preserve">算力设备价格</t>
  </si>
  <si>
    <t xml:space="preserve">税后动态回收期（年）</t>
  </si>
  <si>
    <t xml:space="preserve">基础设施设备价格</t>
  </si>
  <si>
    <r>
      <rPr>
        <b val="true"/>
        <sz val="12"/>
        <rFont val="Noto Sans CJK SC"/>
        <family val="2"/>
      </rPr>
      <t xml:space="preserve">单因素敏感性数据表（列输入单元格 </t>
    </r>
    <r>
      <rPr>
        <b val="true"/>
        <sz val="12"/>
        <rFont val="Arial"/>
        <family val="0"/>
        <charset val="1"/>
      </rPr>
      <t xml:space="preserve">= </t>
    </r>
    <r>
      <rPr>
        <b val="true"/>
        <sz val="12"/>
        <rFont val="Noto Sans CJK SC"/>
        <family val="2"/>
      </rPr>
      <t xml:space="preserve">对应因素乘数）</t>
    </r>
  </si>
  <si>
    <t xml:space="preserve">因素：算力单价</t>
  </si>
  <si>
    <t xml:space="preserve">变化率</t>
  </si>
  <si>
    <r>
      <rPr>
        <b val="true"/>
        <sz val="10"/>
        <rFont val="Noto Sans CJK SC"/>
        <family val="2"/>
      </rPr>
      <t xml:space="preserve">税后 </t>
    </r>
    <r>
      <rPr>
        <b val="true"/>
        <sz val="10"/>
        <rFont val="Arial"/>
        <family val="0"/>
        <charset val="1"/>
      </rPr>
      <t xml:space="preserve">IRR</t>
    </r>
  </si>
  <si>
    <r>
      <rPr>
        <b val="true"/>
        <sz val="10"/>
        <rFont val="Noto Sans CJK SC"/>
        <family val="2"/>
      </rPr>
      <t xml:space="preserve">税前 </t>
    </r>
    <r>
      <rPr>
        <b val="true"/>
        <sz val="10"/>
        <rFont val="Arial"/>
        <family val="0"/>
        <charset val="1"/>
      </rPr>
      <t xml:space="preserve">IRR</t>
    </r>
  </si>
  <si>
    <r>
      <rPr>
        <b val="true"/>
        <sz val="10"/>
        <rFont val="Noto Sans CJK SC"/>
        <family val="2"/>
      </rPr>
      <t xml:space="preserve">税后 </t>
    </r>
    <r>
      <rPr>
        <b val="true"/>
        <sz val="10"/>
        <rFont val="Arial"/>
        <family val="0"/>
        <charset val="1"/>
      </rPr>
      <t xml:space="preserve">NPV</t>
    </r>
  </si>
  <si>
    <r>
      <rPr>
        <b val="true"/>
        <sz val="10"/>
        <rFont val="Noto Sans CJK SC"/>
        <family val="2"/>
      </rPr>
      <t xml:space="preserve">税前 </t>
    </r>
    <r>
      <rPr>
        <b val="true"/>
        <sz val="10"/>
        <rFont val="Arial"/>
        <family val="0"/>
        <charset val="1"/>
      </rPr>
      <t xml:space="preserve">NPV</t>
    </r>
  </si>
  <si>
    <t xml:space="preserve">乘数 →（表头公式行，勿改）</t>
  </si>
  <si>
    <r>
      <rPr>
        <b val="true"/>
        <sz val="10"/>
        <rFont val="Noto Sans CJK SC"/>
        <family val="2"/>
      </rPr>
      <t xml:space="preserve">敏感度系数（税后 </t>
    </r>
    <r>
      <rPr>
        <b val="true"/>
        <sz val="10"/>
        <rFont val="Arial"/>
        <family val="0"/>
        <charset val="1"/>
      </rPr>
      <t xml:space="preserve">IRR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±10%</t>
    </r>
    <r>
      <rPr>
        <b val="true"/>
        <sz val="10"/>
        <rFont val="Noto Sans CJK SC"/>
        <family val="2"/>
      </rPr>
      <t xml:space="preserve">）</t>
    </r>
  </si>
  <si>
    <t xml:space="preserve">-20%</t>
  </si>
  <si>
    <r>
      <rPr>
        <b val="true"/>
        <sz val="10"/>
        <rFont val="Noto Sans CJK SC"/>
        <family val="2"/>
      </rPr>
      <t xml:space="preserve">临界变化率（税后 </t>
    </r>
    <r>
      <rPr>
        <b val="true"/>
        <sz val="10"/>
        <rFont val="Arial"/>
        <family val="0"/>
        <charset val="1"/>
      </rPr>
      <t xml:space="preserve">IRR = ic</t>
    </r>
    <r>
      <rPr>
        <b val="true"/>
        <sz val="10"/>
        <rFont val="Noto Sans CJK SC"/>
        <family val="2"/>
      </rPr>
      <t xml:space="preserve">，线性近似）</t>
    </r>
  </si>
  <si>
    <t xml:space="preserve">-10%</t>
  </si>
  <si>
    <t xml:space="preserve">+0%</t>
  </si>
  <si>
    <t xml:space="preserve">+10%</t>
  </si>
  <si>
    <t xml:space="preserve">+20%</t>
  </si>
  <si>
    <t xml:space="preserve">因素：售卖比例（上架率）</t>
  </si>
  <si>
    <t xml:space="preserve">因素：电价</t>
  </si>
  <si>
    <t xml:space="preserve">因素：算力设备价格</t>
  </si>
  <si>
    <t xml:space="preserve">因素：基础设施设备价格</t>
  </si>
  <si>
    <r>
      <rPr>
        <b val="true"/>
        <sz val="10"/>
        <color rgb="FFC00000"/>
        <rFont val="Noto Sans CJK SC"/>
        <family val="2"/>
      </rPr>
      <t xml:space="preserve">读法：敏感度系数绝对值越大越敏感；临界变化率 </t>
    </r>
    <r>
      <rPr>
        <b val="true"/>
        <sz val="10"/>
        <color rgb="FFC00000"/>
        <rFont val="Arial"/>
        <family val="0"/>
        <charset val="1"/>
      </rPr>
      <t xml:space="preserve">= </t>
    </r>
    <r>
      <rPr>
        <b val="true"/>
        <sz val="10"/>
        <color rgb="FFC00000"/>
        <rFont val="Noto Sans CJK SC"/>
        <family val="2"/>
      </rPr>
      <t xml:space="preserve">使税后 </t>
    </r>
    <r>
      <rPr>
        <b val="true"/>
        <sz val="10"/>
        <color rgb="FFC00000"/>
        <rFont val="Arial"/>
        <family val="0"/>
        <charset val="1"/>
      </rPr>
      <t xml:space="preserve">IRR </t>
    </r>
    <r>
      <rPr>
        <b val="true"/>
        <sz val="10"/>
        <color rgb="FFC00000"/>
        <rFont val="Noto Sans CJK SC"/>
        <family val="2"/>
      </rPr>
      <t xml:space="preserve">降到基准收益率所需的该因素变化幅度（线性近似，正式稿可用单变量求解精确化）。</t>
    </r>
  </si>
  <si>
    <r>
      <rPr>
        <b val="true"/>
        <sz val="10"/>
        <color rgb="FFC00000"/>
        <rFont val="Noto Sans CJK SC"/>
        <family val="2"/>
      </rPr>
      <t xml:space="preserve">若 </t>
    </r>
    <r>
      <rPr>
        <b val="true"/>
        <sz val="10"/>
        <color rgb="FFC00000"/>
        <rFont val="Arial"/>
        <family val="0"/>
        <charset val="1"/>
      </rPr>
      <t xml:space="preserve">Excel </t>
    </r>
    <r>
      <rPr>
        <b val="true"/>
        <sz val="10"/>
        <color rgb="FFC00000"/>
        <rFont val="Noto Sans CJK SC"/>
        <family val="2"/>
      </rPr>
      <t xml:space="preserve">未自动计算数据表：公式 → 计算选项 → 自动（含数据表），或按 </t>
    </r>
    <r>
      <rPr>
        <b val="true"/>
        <sz val="10"/>
        <color rgb="FFC00000"/>
        <rFont val="Arial"/>
        <family val="0"/>
        <charset val="1"/>
      </rPr>
      <t xml:space="preserve">F9</t>
    </r>
    <r>
      <rPr>
        <b val="true"/>
        <sz val="10"/>
        <color rgb="FFC00000"/>
        <rFont val="Noto Sans CJK SC"/>
        <family val="2"/>
      </rPr>
      <t xml:space="preserve">。</t>
    </r>
  </si>
  <si>
    <r>
      <rPr>
        <b val="true"/>
        <sz val="14"/>
        <rFont val="Noto Sans CJK SC"/>
        <family val="2"/>
      </rPr>
      <t xml:space="preserve">一致性校核表（出稿前必须全部 </t>
    </r>
    <r>
      <rPr>
        <b val="true"/>
        <sz val="14"/>
        <rFont val="Arial"/>
        <family val="0"/>
        <charset val="1"/>
      </rPr>
      <t xml:space="preserve">OK</t>
    </r>
    <r>
      <rPr>
        <b val="true"/>
        <sz val="14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</si>
  <si>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每条校核对应可研自检清单；</t>
    </r>
    <r>
      <rPr>
        <sz val="10"/>
        <rFont val="Arial"/>
        <family val="0"/>
        <charset val="1"/>
      </rPr>
      <t xml:space="preserve">ERR </t>
    </r>
    <r>
      <rPr>
        <sz val="10"/>
        <rFont val="Noto Sans CJK SC"/>
        <family val="2"/>
      </rPr>
      <t xml:space="preserve">时不得出稿</t>
    </r>
  </si>
  <si>
    <t xml:space="preserve">校核项</t>
  </si>
  <si>
    <t xml:space="preserve">计算值</t>
  </si>
  <si>
    <t xml:space="preserve">结果</t>
  </si>
  <si>
    <r>
      <rPr>
        <sz val="10"/>
        <rFont val="Noto Sans CJK SC"/>
        <family val="2"/>
      </rPr>
      <t xml:space="preserve">建设投资各年投入比例之和 </t>
    </r>
    <r>
      <rPr>
        <sz val="10"/>
        <rFont val="Arial"/>
        <family val="0"/>
        <charset val="1"/>
      </rPr>
      <t xml:space="preserve">= 100%</t>
    </r>
  </si>
  <si>
    <r>
      <rPr>
        <sz val="10"/>
        <rFont val="Noto Sans CJK SC"/>
        <family val="2"/>
      </rPr>
      <t xml:space="preserve">参数 </t>
    </r>
    <r>
      <rPr>
        <sz val="10"/>
        <rFont val="Arial"/>
        <family val="0"/>
        <charset val="1"/>
      </rPr>
      <t xml:space="preserve">A6–A8</t>
    </r>
  </si>
  <si>
    <r>
      <rPr>
        <sz val="10"/>
        <rFont val="Noto Sans CJK SC"/>
        <family val="2"/>
      </rPr>
      <t xml:space="preserve">建设期 ≤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且 运营期 ≤ </t>
    </r>
    <r>
      <rPr>
        <sz val="10"/>
        <rFont val="Arial"/>
        <family val="0"/>
        <charset val="1"/>
      </rPr>
      <t xml:space="preserve">15 </t>
    </r>
    <r>
      <rPr>
        <sz val="10"/>
        <rFont val="Noto Sans CJK SC"/>
        <family val="2"/>
      </rPr>
      <t xml:space="preserve">且 正常年 ≤ 运营期 且 还款年限 ≤ 运营期</t>
    </r>
  </si>
  <si>
    <r>
      <rPr>
        <sz val="10"/>
        <rFont val="Noto Sans CJK SC"/>
        <family val="2"/>
      </rPr>
      <t xml:space="preserve">模型年份列上限 </t>
    </r>
    <r>
      <rPr>
        <sz val="10"/>
        <rFont val="Arial"/>
        <family val="0"/>
        <charset val="1"/>
      </rPr>
      <t xml:space="preserve">18</t>
    </r>
  </si>
  <si>
    <r>
      <rPr>
        <sz val="10"/>
        <rFont val="Noto Sans CJK SC"/>
        <family val="2"/>
      </rPr>
      <t xml:space="preserve">附表 </t>
    </r>
    <r>
      <rPr>
        <sz val="10"/>
        <rFont val="Arial"/>
        <family val="0"/>
        <charset val="1"/>
      </rPr>
      <t xml:space="preserve">1-2 GPU </t>
    </r>
    <r>
      <rPr>
        <sz val="10"/>
        <rFont val="Noto Sans CJK SC"/>
        <family val="2"/>
      </rPr>
      <t xml:space="preserve">服务器数量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参数 </t>
    </r>
    <r>
      <rPr>
        <sz val="10"/>
        <rFont val="Arial"/>
        <family val="0"/>
        <charset val="1"/>
      </rPr>
      <t xml:space="preserve">B6</t>
    </r>
    <r>
      <rPr>
        <sz val="10"/>
        <rFont val="Noto Sans CJK SC"/>
        <family val="2"/>
      </rPr>
      <t xml:space="preserve">；模块数量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参数 </t>
    </r>
    <r>
      <rPr>
        <sz val="10"/>
        <rFont val="Arial"/>
        <family val="0"/>
        <charset val="1"/>
      </rPr>
      <t xml:space="preserve">B1</t>
    </r>
  </si>
  <si>
    <t xml:space="preserve">规模口径三件套同源</t>
  </si>
  <si>
    <r>
      <rPr>
        <sz val="10"/>
        <rFont val="Noto Sans CJK SC"/>
        <family val="2"/>
      </rPr>
      <t xml:space="preserve">附表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建设投资合计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附表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工程建设投资</t>
    </r>
  </si>
  <si>
    <r>
      <rPr>
        <sz val="10"/>
        <rFont val="Noto Sans CJK SC"/>
        <family val="2"/>
      </rPr>
      <t xml:space="preserve">附表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资金筹措 − 总资金 </t>
    </r>
    <r>
      <rPr>
        <sz val="10"/>
        <rFont val="Arial"/>
        <family val="0"/>
        <charset val="1"/>
      </rPr>
      <t xml:space="preserve">= 0</t>
    </r>
    <r>
      <rPr>
        <sz val="10"/>
        <rFont val="Noto Sans CJK SC"/>
        <family val="2"/>
      </rPr>
      <t xml:space="preserve">（各年）</t>
    </r>
  </si>
  <si>
    <r>
      <rPr>
        <sz val="10"/>
        <rFont val="Noto Sans CJK SC"/>
        <family val="2"/>
      </rPr>
      <t xml:space="preserve">附表 </t>
    </r>
    <r>
      <rPr>
        <sz val="10"/>
        <rFont val="Arial"/>
        <family val="0"/>
        <charset val="1"/>
      </rPr>
      <t xml:space="preserve">10 </t>
    </r>
    <r>
      <rPr>
        <sz val="10"/>
        <rFont val="Noto Sans CJK SC"/>
        <family val="2"/>
      </rPr>
      <t xml:space="preserve">资产 − 负债 − 权益 </t>
    </r>
    <r>
      <rPr>
        <sz val="10"/>
        <rFont val="Arial"/>
        <family val="0"/>
        <charset val="1"/>
      </rPr>
      <t xml:space="preserve">= 0</t>
    </r>
    <r>
      <rPr>
        <sz val="10"/>
        <rFont val="Noto Sans CJK SC"/>
        <family val="2"/>
      </rPr>
      <t xml:space="preserve">（各年绝对差之和）</t>
    </r>
  </si>
  <si>
    <r>
      <rPr>
        <sz val="10"/>
        <rFont val="Noto Sans CJK SC"/>
        <family val="2"/>
      </rPr>
      <t xml:space="preserve">允许 </t>
    </r>
    <r>
      <rPr>
        <sz val="10"/>
        <rFont val="Arial"/>
        <family val="0"/>
        <charset val="1"/>
      </rPr>
      <t xml:space="preserve">0.5 </t>
    </r>
    <r>
      <rPr>
        <sz val="10"/>
        <rFont val="Noto Sans CJK SC"/>
        <family val="2"/>
      </rPr>
      <t xml:space="preserve">万元舍入</t>
    </r>
  </si>
  <si>
    <r>
      <rPr>
        <sz val="10"/>
        <rFont val="Noto Sans CJK SC"/>
        <family val="2"/>
      </rPr>
      <t xml:space="preserve">附表 </t>
    </r>
    <r>
      <rPr>
        <sz val="10"/>
        <rFont val="Arial"/>
        <family val="0"/>
        <charset val="1"/>
      </rPr>
      <t xml:space="preserve">9 </t>
    </r>
    <r>
      <rPr>
        <sz val="10"/>
        <rFont val="Noto Sans CJK SC"/>
        <family val="2"/>
      </rPr>
      <t xml:space="preserve">累计盈余资金全程 ≥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（最小值）</t>
    </r>
  </si>
  <si>
    <r>
      <rPr>
        <sz val="10"/>
        <rFont val="Arial"/>
        <family val="0"/>
        <charset val="1"/>
      </rPr>
      <t xml:space="preserve">ERR = </t>
    </r>
    <r>
      <rPr>
        <sz val="10"/>
        <rFont val="Noto Sans CJK SC"/>
        <family val="2"/>
      </rPr>
      <t xml:space="preserve">资金缺口，需调融资或流动资金</t>
    </r>
  </si>
  <si>
    <r>
      <rPr>
        <sz val="10"/>
        <rFont val="Noto Sans CJK SC"/>
        <family val="2"/>
      </rPr>
      <t xml:space="preserve">投产比例非递减且 ≤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；售卖比例 ≤ </t>
    </r>
    <r>
      <rPr>
        <sz val="10"/>
        <rFont val="Arial"/>
        <family val="0"/>
        <charset val="1"/>
      </rPr>
      <t xml:space="preserve">1</t>
    </r>
  </si>
  <si>
    <r>
      <rPr>
        <sz val="10"/>
        <rFont val="Noto Sans CJK SC"/>
        <family val="2"/>
      </rPr>
      <t xml:space="preserve">参数 </t>
    </r>
    <r>
      <rPr>
        <sz val="10"/>
        <rFont val="Arial"/>
        <family val="0"/>
        <charset val="1"/>
      </rPr>
      <t xml:space="preserve">K1 / K2</t>
    </r>
  </si>
  <si>
    <r>
      <rPr>
        <sz val="10"/>
        <rFont val="Noto Sans CJK SC"/>
        <family val="2"/>
      </rPr>
      <t xml:space="preserve">长期借款计算期末余额 </t>
    </r>
    <r>
      <rPr>
        <sz val="10"/>
        <rFont val="Arial"/>
        <family val="0"/>
        <charset val="1"/>
      </rPr>
      <t xml:space="preserve">= 0</t>
    </r>
  </si>
  <si>
    <r>
      <rPr>
        <sz val="10"/>
        <rFont val="Noto Sans CJK SC"/>
        <family val="2"/>
      </rPr>
      <t xml:space="preserve">还款年限 ≤ 运营期时应为 </t>
    </r>
    <r>
      <rPr>
        <sz val="10"/>
        <rFont val="Arial"/>
        <family val="0"/>
        <charset val="1"/>
      </rPr>
      <t xml:space="preserve">0</t>
    </r>
  </si>
  <si>
    <r>
      <rPr>
        <sz val="10"/>
        <rFont val="Noto Sans CJK SC"/>
        <family val="2"/>
      </rPr>
      <t xml:space="preserve">货币与税口径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人民币（含税）</t>
    </r>
  </si>
  <si>
    <t xml:space="preserve">国内铁律；海外项目不得使用本模板</t>
  </si>
  <si>
    <r>
      <rPr>
        <sz val="10"/>
        <rFont val="Noto Sans CJK SC"/>
        <family val="2"/>
      </rPr>
      <t xml:space="preserve">设计 </t>
    </r>
    <r>
      <rPr>
        <sz val="10"/>
        <rFont val="Arial"/>
        <family val="0"/>
        <charset val="1"/>
      </rPr>
      <t xml:space="preserve">PUE ≥ 1.0 </t>
    </r>
    <r>
      <rPr>
        <sz val="10"/>
        <rFont val="Noto Sans CJK SC"/>
        <family val="2"/>
      </rPr>
      <t xml:space="preserve">且 ≤ </t>
    </r>
    <r>
      <rPr>
        <sz val="10"/>
        <rFont val="Arial"/>
        <family val="0"/>
        <charset val="1"/>
      </rPr>
      <t xml:space="preserve">1.25</t>
    </r>
    <r>
      <rPr>
        <sz val="10"/>
        <rFont val="Noto Sans CJK SC"/>
        <family val="2"/>
      </rPr>
      <t xml:space="preserve">（国家新建大型数据中心红线）</t>
    </r>
  </si>
  <si>
    <r>
      <rPr>
        <sz val="10"/>
        <rFont val="Noto Sans CJK SC"/>
        <family val="2"/>
      </rPr>
      <t xml:space="preserve">枢纽节点 ≤ </t>
    </r>
    <r>
      <rPr>
        <sz val="10"/>
        <rFont val="Arial"/>
        <family val="0"/>
        <charset val="1"/>
      </rPr>
      <t xml:space="preserve">1.2 </t>
    </r>
    <r>
      <rPr>
        <sz val="10"/>
        <rFont val="Noto Sans CJK SC"/>
        <family val="2"/>
      </rPr>
      <t xml:space="preserve">另核</t>
    </r>
  </si>
  <si>
    <r>
      <rPr>
        <sz val="10"/>
        <rFont val="Noto Sans CJK SC"/>
        <family val="2"/>
      </rPr>
      <t xml:space="preserve">附表 </t>
    </r>
    <r>
      <rPr>
        <sz val="10"/>
        <rFont val="Arial"/>
        <family val="0"/>
        <charset val="1"/>
      </rPr>
      <t xml:space="preserve">1-2 </t>
    </r>
    <r>
      <rPr>
        <sz val="10"/>
        <rFont val="Noto Sans CJK SC"/>
        <family val="2"/>
      </rPr>
      <t xml:space="preserve">所有单价已填（无空白）</t>
    </r>
  </si>
  <si>
    <r>
      <rPr>
        <sz val="10"/>
        <rFont val="Noto Sans CJK SC"/>
        <family val="2"/>
      </rPr>
      <t xml:space="preserve">税后 </t>
    </r>
    <r>
      <rPr>
        <sz val="10"/>
        <rFont val="Arial"/>
        <family val="0"/>
        <charset val="1"/>
      </rPr>
      <t xml:space="preserve">IRR ≥ </t>
    </r>
    <r>
      <rPr>
        <sz val="10"/>
        <rFont val="Noto Sans CJK SC"/>
        <family val="2"/>
      </rPr>
      <t xml:space="preserve">基准收益率 </t>
    </r>
    <r>
      <rPr>
        <sz val="10"/>
        <rFont val="Arial"/>
        <family val="0"/>
        <charset val="1"/>
      </rPr>
      <t xml:space="preserve">ic</t>
    </r>
    <r>
      <rPr>
        <sz val="10"/>
        <rFont val="Noto Sans CJK SC"/>
        <family val="2"/>
      </rPr>
      <t xml:space="preserve">（可行性判据）</t>
    </r>
  </si>
  <si>
    <r>
      <rPr>
        <sz val="10"/>
        <rFont val="Arial"/>
        <family val="0"/>
        <charset val="1"/>
      </rPr>
      <t xml:space="preserve">WARN = </t>
    </r>
    <r>
      <rPr>
        <sz val="10"/>
        <rFont val="Noto Sans CJK SC"/>
        <family val="2"/>
      </rPr>
      <t xml:space="preserve">财务不可行，需调方案而非改数</t>
    </r>
  </si>
  <si>
    <t xml:space="preserve">C14</t>
  </si>
  <si>
    <r>
      <rPr>
        <sz val="10"/>
        <rFont val="Noto Sans CJK SC"/>
        <family val="2"/>
      </rPr>
      <t xml:space="preserve">附表 </t>
    </r>
    <r>
      <rPr>
        <sz val="10"/>
        <rFont val="Arial"/>
        <family val="0"/>
        <charset val="1"/>
      </rPr>
      <t xml:space="preserve">8 </t>
    </r>
    <r>
      <rPr>
        <sz val="10"/>
        <rFont val="Noto Sans CJK SC"/>
        <family val="2"/>
      </rPr>
      <t xml:space="preserve">建设投资合计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附表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工程建设投资</t>
    </r>
  </si>
  <si>
    <t xml:space="preserve">C15</t>
  </si>
  <si>
    <r>
      <rPr>
        <sz val="10"/>
        <rFont val="Noto Sans CJK SC"/>
        <family val="2"/>
      </rPr>
      <t xml:space="preserve">附表 </t>
    </r>
    <r>
      <rPr>
        <sz val="10"/>
        <rFont val="Arial"/>
        <family val="0"/>
        <charset val="1"/>
      </rPr>
      <t xml:space="preserve">4 </t>
    </r>
    <r>
      <rPr>
        <sz val="10"/>
        <rFont val="Noto Sans CJK SC"/>
        <family val="2"/>
      </rPr>
      <t xml:space="preserve">折旧合计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固定资产原值 </t>
    </r>
    <r>
      <rPr>
        <sz val="10"/>
        <rFont val="Arial"/>
        <family val="0"/>
        <charset val="1"/>
      </rPr>
      <t xml:space="preserve">× (1 − </t>
    </r>
    <r>
      <rPr>
        <sz val="10"/>
        <rFont val="Noto Sans CJK SC"/>
        <family val="2"/>
      </rPr>
      <t xml:space="preserve">残值率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（折旧年限 ≤ 运营期时）或 ≤ 该值</t>
    </r>
  </si>
  <si>
    <t xml:space="preserve">累计折旧不得超过应计折旧</t>
  </si>
  <si>
    <r>
      <rPr>
        <b val="true"/>
        <sz val="10"/>
        <rFont val="Arial"/>
        <family val="0"/>
        <charset val="1"/>
      </rPr>
      <t xml:space="preserve">ERR </t>
    </r>
    <r>
      <rPr>
        <b val="true"/>
        <sz val="10"/>
        <rFont val="Noto Sans CJK SC"/>
        <family val="2"/>
      </rPr>
      <t xml:space="preserve">数量</t>
    </r>
  </si>
  <si>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数量</t>
    </r>
  </si>
  <si>
    <t xml:space="preserve">总体结论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</si>
</sst>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.00;\(#,##0.00\);\-"/>
    <numFmt numFmtId="166" formatCode="0"/>
    <numFmt numFmtId="167" formatCode="#,##0;\(#,##0\);\-"/>
    <numFmt numFmtId="168" formatCode="0.000"/>
    <numFmt numFmtId="169" formatCode="0.00"/>
    <numFmt numFmtId="170" formatCode="0.00%;\(0.00%\);\-"/>
    <numFmt numFmtId="171" formatCode="0.0%;\(0.0%\);\-"/>
    <numFmt numFmtId="172" formatCode="0.0"/>
    <numFmt numFmtId="173" formatCode="#,##0.000"/>
    <numFmt numFmtId="174" formatCode="0.0000"/>
    <numFmt numFmtId="175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Noto Sans CJK SC"/>
      <family val="2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2"/>
      <name val="Noto Sans CJK SC"/>
      <family val="2"/>
    </font>
    <font>
      <b val="true"/>
      <sz val="10"/>
      <color rgb="FFC00000"/>
      <name val="Noto Sans CJK SC"/>
      <family val="2"/>
    </font>
    <font>
      <b val="true"/>
      <sz val="10"/>
      <color rgb="FFC00000"/>
      <name val="Arial"/>
      <family val="0"/>
      <charset val="1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8000"/>
      <name val="Noto Sans CJK SC"/>
      <family val="2"/>
    </font>
    <font>
      <b val="true"/>
      <sz val="12"/>
      <name val="Arial"/>
      <family val="0"/>
      <charset val="1"/>
    </font>
    <font>
      <sz val="10"/>
      <color rgb="FF0000FF"/>
      <name val="Noto Sans CJK SC"/>
      <family val="2"/>
    </font>
    <font>
      <sz val="10"/>
      <color rgb="FF0000FF"/>
      <name val="Arial"/>
      <family val="0"/>
      <charset val="1"/>
    </font>
    <font>
      <b val="true"/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E2EFDA"/>
      </patternFill>
    </fill>
    <fill>
      <patternFill patternType="solid">
        <fgColor rgb="FFDDEBF7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0"/>
  </cols>
  <sheetData>
    <row r="2" customFormat="false" ht="21.6" hidden="false" customHeight="false" outlineLevel="0" collapsed="false">
      <c r="B2" s="1" t="s">
        <v>0</v>
      </c>
    </row>
    <row r="3" customFormat="false" ht="29.85" hidden="false" customHeight="false" outlineLevel="0" collapsed="false">
      <c r="B3" s="2" t="s">
        <v>1</v>
      </c>
    </row>
    <row r="4" customFormat="false" ht="15" hidden="false" customHeight="false" outlineLevel="0" collapsed="false">
      <c r="B4" s="2"/>
    </row>
    <row r="5" customFormat="false" ht="19.4" hidden="false" customHeight="false" outlineLevel="0" collapsed="false">
      <c r="B5" s="3" t="s">
        <v>2</v>
      </c>
    </row>
    <row r="6" customFormat="false" ht="29.85" hidden="false" customHeight="false" outlineLevel="0" collapsed="false">
      <c r="B6" s="4" t="s">
        <v>3</v>
      </c>
    </row>
    <row r="7" customFormat="false" ht="29.85" hidden="false" customHeight="false" outlineLevel="0" collapsed="false">
      <c r="B7" s="4" t="s">
        <v>4</v>
      </c>
    </row>
    <row r="8" customFormat="false" ht="29.85" hidden="false" customHeight="false" outlineLevel="0" collapsed="false">
      <c r="B8" s="4" t="s">
        <v>5</v>
      </c>
    </row>
    <row r="9" customFormat="false" ht="15" hidden="false" customHeight="false" outlineLevel="0" collapsed="false">
      <c r="B9" s="4" t="s">
        <v>6</v>
      </c>
    </row>
    <row r="10" customFormat="false" ht="15" hidden="false" customHeight="false" outlineLevel="0" collapsed="false">
      <c r="B10" s="2"/>
    </row>
    <row r="11" customFormat="false" ht="19.4" hidden="false" customHeight="false" outlineLevel="0" collapsed="false">
      <c r="B11" s="3" t="s">
        <v>7</v>
      </c>
    </row>
    <row r="12" customFormat="false" ht="15" hidden="false" customHeight="false" outlineLevel="0" collapsed="false">
      <c r="B12" s="2" t="s">
        <v>8</v>
      </c>
    </row>
    <row r="13" customFormat="false" ht="15" hidden="false" customHeight="false" outlineLevel="0" collapsed="false">
      <c r="B13" s="2"/>
    </row>
    <row r="14" customFormat="false" ht="19.4" hidden="false" customHeight="false" outlineLevel="0" collapsed="false">
      <c r="B14" s="3" t="s">
        <v>9</v>
      </c>
    </row>
    <row r="15" customFormat="false" ht="44" hidden="false" customHeight="false" outlineLevel="0" collapsed="false">
      <c r="B15" s="4" t="s">
        <v>10</v>
      </c>
    </row>
    <row r="16" customFormat="false" ht="15" hidden="false" customHeight="false" outlineLevel="0" collapsed="false">
      <c r="B16" s="2"/>
    </row>
    <row r="17" customFormat="false" ht="19.4" hidden="false" customHeight="false" outlineLevel="0" collapsed="false">
      <c r="B17" s="3" t="s">
        <v>11</v>
      </c>
    </row>
    <row r="18" customFormat="false" ht="44" hidden="false" customHeight="false" outlineLevel="0" collapsed="false">
      <c r="B18" s="4" t="s">
        <v>12</v>
      </c>
    </row>
    <row r="19" customFormat="false" ht="15" hidden="false" customHeight="false" outlineLevel="0" collapsed="false">
      <c r="B19" s="2"/>
    </row>
    <row r="20" customFormat="false" ht="19.4" hidden="false" customHeight="false" outlineLevel="0" collapsed="false">
      <c r="B20" s="3" t="s">
        <v>13</v>
      </c>
    </row>
    <row r="21" customFormat="false" ht="15" hidden="false" customHeight="false" outlineLevel="0" collapsed="false">
      <c r="B21" s="4" t="s">
        <v>14</v>
      </c>
    </row>
    <row r="22" customFormat="false" ht="29.85" hidden="false" customHeight="false" outlineLevel="0" collapsed="false">
      <c r="B22" s="4" t="s">
        <v>15</v>
      </c>
    </row>
    <row r="23" customFormat="false" ht="15" hidden="false" customHeight="false" outlineLevel="0" collapsed="false">
      <c r="B23" s="4" t="s">
        <v>16</v>
      </c>
    </row>
    <row r="24" customFormat="false" ht="29.85" hidden="false" customHeight="false" outlineLevel="0" collapsed="false">
      <c r="B24" s="4" t="s">
        <v>17</v>
      </c>
    </row>
    <row r="25" customFormat="false" ht="15" hidden="false" customHeight="false" outlineLevel="0" collapsed="false">
      <c r="B25" s="4" t="s">
        <v>18</v>
      </c>
    </row>
    <row r="26" customFormat="false" ht="15" hidden="false" customHeight="false" outlineLevel="0" collapsed="false">
      <c r="B26" s="4" t="s">
        <v>19</v>
      </c>
    </row>
    <row r="27" customFormat="false" ht="15" hidden="false" customHeight="false" outlineLevel="0" collapsed="false">
      <c r="B27" s="4" t="s">
        <v>20</v>
      </c>
    </row>
    <row r="28" customFormat="false" ht="15" hidden="false" customHeight="false" outlineLevel="0" collapsed="false">
      <c r="B28" s="2"/>
    </row>
    <row r="29" customFormat="false" ht="19.4" hidden="false" customHeight="false" outlineLevel="0" collapsed="false">
      <c r="B29" s="3" t="s">
        <v>21</v>
      </c>
    </row>
    <row r="30" customFormat="false" ht="29.85" hidden="false" customHeight="false" outlineLevel="0" collapsed="false">
      <c r="B30" s="5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40"/>
  </cols>
  <sheetData>
    <row r="1" customFormat="false" ht="21.6" hidden="false" customHeight="false" outlineLevel="0" collapsed="false">
      <c r="A1" s="6" t="s">
        <v>23</v>
      </c>
    </row>
    <row r="2" customFormat="false" ht="15" hidden="false" customHeight="false" outlineLevel="0" collapsed="false">
      <c r="A2" s="7" t="s">
        <v>24</v>
      </c>
    </row>
    <row r="4" customFormat="false" ht="15" hidden="false" customHeight="false" outlineLevel="0" collapsed="false">
      <c r="A4" s="8" t="s">
        <v>25</v>
      </c>
      <c r="B4" s="8" t="s">
        <v>26</v>
      </c>
      <c r="C4" s="8" t="s">
        <v>27</v>
      </c>
      <c r="D4" s="8" t="s">
        <v>28</v>
      </c>
      <c r="E4" s="8" t="s">
        <v>29</v>
      </c>
    </row>
    <row r="5" customFormat="false" ht="15" hidden="false" customHeight="false" outlineLevel="0" collapsed="false">
      <c r="A5" s="9" t="s">
        <v>30</v>
      </c>
      <c r="B5" s="10" t="s">
        <v>31</v>
      </c>
      <c r="C5" s="9"/>
      <c r="D5" s="11"/>
      <c r="E5" s="12"/>
    </row>
    <row r="6" customFormat="false" ht="15" hidden="false" customHeight="false" outlineLevel="0" collapsed="false">
      <c r="A6" s="13" t="s">
        <v>32</v>
      </c>
      <c r="B6" s="14" t="s">
        <v>33</v>
      </c>
      <c r="C6" s="14" t="s">
        <v>34</v>
      </c>
      <c r="D6" s="15" t="n">
        <f aca="false">0_参数!$C$18</f>
        <v>4</v>
      </c>
      <c r="E6" s="16" t="s">
        <v>35</v>
      </c>
    </row>
    <row r="7" customFormat="false" ht="15" hidden="false" customHeight="false" outlineLevel="0" collapsed="false">
      <c r="A7" s="13" t="s">
        <v>36</v>
      </c>
      <c r="B7" s="13" t="s">
        <v>37</v>
      </c>
      <c r="C7" s="13" t="s">
        <v>38</v>
      </c>
      <c r="D7" s="17" t="n">
        <f aca="false">0_参数!$C$20</f>
        <v>2112</v>
      </c>
      <c r="E7" s="16" t="s">
        <v>39</v>
      </c>
    </row>
    <row r="8" customFormat="false" ht="15" hidden="false" customHeight="false" outlineLevel="0" collapsed="false">
      <c r="A8" s="13" t="s">
        <v>40</v>
      </c>
      <c r="B8" s="14" t="s">
        <v>41</v>
      </c>
      <c r="C8" s="14" t="s">
        <v>42</v>
      </c>
      <c r="D8" s="15" t="n">
        <f aca="false">0_参数!$C$22</f>
        <v>844.8</v>
      </c>
      <c r="E8" s="16" t="s">
        <v>43</v>
      </c>
    </row>
    <row r="9" customFormat="false" ht="15" hidden="false" customHeight="false" outlineLevel="0" collapsed="false">
      <c r="A9" s="13" t="s">
        <v>44</v>
      </c>
      <c r="B9" s="14" t="s">
        <v>45</v>
      </c>
      <c r="C9" s="14" t="s">
        <v>46</v>
      </c>
      <c r="D9" s="15" t="n">
        <f aca="false">0_参数!$C$23</f>
        <v>168</v>
      </c>
      <c r="E9" s="16" t="s">
        <v>47</v>
      </c>
    </row>
    <row r="10" customFormat="false" ht="15" hidden="false" customHeight="false" outlineLevel="0" collapsed="false">
      <c r="A10" s="13" t="s">
        <v>48</v>
      </c>
      <c r="B10" s="14" t="s">
        <v>49</v>
      </c>
      <c r="C10" s="13" t="s">
        <v>50</v>
      </c>
      <c r="D10" s="17" t="n">
        <f aca="false">0_参数!$C$25</f>
        <v>3024</v>
      </c>
      <c r="E10" s="16" t="s">
        <v>51</v>
      </c>
    </row>
    <row r="11" customFormat="false" ht="15" hidden="false" customHeight="false" outlineLevel="0" collapsed="false">
      <c r="A11" s="13" t="s">
        <v>52</v>
      </c>
      <c r="B11" s="14" t="s">
        <v>53</v>
      </c>
      <c r="C11" s="14" t="s">
        <v>54</v>
      </c>
      <c r="D11" s="17" t="n">
        <f aca="false">0_参数!$C$30</f>
        <v>1500</v>
      </c>
      <c r="E11" s="16" t="s">
        <v>55</v>
      </c>
    </row>
    <row r="12" customFormat="false" ht="15" hidden="false" customHeight="false" outlineLevel="0" collapsed="false">
      <c r="A12" s="9" t="s">
        <v>56</v>
      </c>
      <c r="B12" s="10" t="s">
        <v>57</v>
      </c>
      <c r="C12" s="9"/>
      <c r="D12" s="11"/>
      <c r="E12" s="12"/>
    </row>
    <row r="13" customFormat="false" ht="15" hidden="false" customHeight="false" outlineLevel="0" collapsed="false">
      <c r="A13" s="13" t="s">
        <v>58</v>
      </c>
      <c r="B13" s="14" t="s">
        <v>59</v>
      </c>
      <c r="C13" s="13" t="s">
        <v>38</v>
      </c>
      <c r="D13" s="17" t="n">
        <f aca="false">0_参数!$C$34</f>
        <v>2537.16</v>
      </c>
      <c r="E13" s="16" t="s">
        <v>60</v>
      </c>
    </row>
    <row r="14" customFormat="false" ht="15" hidden="false" customHeight="false" outlineLevel="0" collapsed="false">
      <c r="A14" s="13" t="s">
        <v>61</v>
      </c>
      <c r="B14" s="14" t="s">
        <v>62</v>
      </c>
      <c r="C14" s="14" t="s">
        <v>63</v>
      </c>
      <c r="D14" s="17" t="n">
        <f aca="false">INDEX(4_总成本费用!D$11:U$11,0_参数!$C$9+0_参数!$C$15)</f>
        <v>1791.9890496</v>
      </c>
      <c r="E14" s="16" t="s">
        <v>64</v>
      </c>
    </row>
    <row r="15" customFormat="false" ht="15" hidden="false" customHeight="false" outlineLevel="0" collapsed="false">
      <c r="A15" s="13" t="s">
        <v>65</v>
      </c>
      <c r="B15" s="14" t="s">
        <v>66</v>
      </c>
      <c r="C15" s="14" t="s">
        <v>63</v>
      </c>
      <c r="D15" s="17" t="n">
        <f aca="false">INDEX(4_总成本费用!D$10:U$10,0_参数!$C$9+0_参数!$C$15)</f>
        <v>1498.59072</v>
      </c>
      <c r="E15" s="16" t="s">
        <v>67</v>
      </c>
    </row>
    <row r="16" customFormat="false" ht="15" hidden="false" customHeight="false" outlineLevel="0" collapsed="false">
      <c r="A16" s="13" t="s">
        <v>68</v>
      </c>
      <c r="B16" s="14" t="s">
        <v>69</v>
      </c>
      <c r="C16" s="14"/>
      <c r="D16" s="18" t="n">
        <f aca="false">0_参数!$C$29</f>
        <v>1.18</v>
      </c>
      <c r="E16" s="16" t="s">
        <v>70</v>
      </c>
    </row>
    <row r="17" customFormat="false" ht="15" hidden="false" customHeight="false" outlineLevel="0" collapsed="false">
      <c r="A17" s="13" t="s">
        <v>71</v>
      </c>
      <c r="B17" s="14" t="s">
        <v>72</v>
      </c>
      <c r="C17" s="13" t="s">
        <v>73</v>
      </c>
      <c r="D17" s="17" t="n">
        <f aca="false">INDEX(4_总成本费用!D$12:U$12,0_参数!$C$9+0_参数!$C$15)</f>
        <v>16000</v>
      </c>
      <c r="E17" s="16" t="s">
        <v>67</v>
      </c>
    </row>
    <row r="18" customFormat="false" ht="15" hidden="false" customHeight="false" outlineLevel="0" collapsed="false">
      <c r="A18" s="13" t="s">
        <v>74</v>
      </c>
      <c r="B18" s="13" t="s">
        <v>75</v>
      </c>
      <c r="C18" s="13" t="s">
        <v>76</v>
      </c>
      <c r="D18" s="19" t="n">
        <f aca="false">IFERROR(D17*1000/(D15*10000),0)</f>
        <v>1.06766976376312</v>
      </c>
      <c r="E18" s="16" t="s">
        <v>77</v>
      </c>
    </row>
    <row r="19" customFormat="false" ht="15" hidden="false" customHeight="false" outlineLevel="0" collapsed="false">
      <c r="A19" s="9" t="s">
        <v>78</v>
      </c>
      <c r="B19" s="10" t="s">
        <v>79</v>
      </c>
      <c r="C19" s="9"/>
      <c r="D19" s="11"/>
      <c r="E19" s="12"/>
    </row>
    <row r="20" customFormat="false" ht="15" hidden="false" customHeight="false" outlineLevel="0" collapsed="false">
      <c r="A20" s="13" t="s">
        <v>80</v>
      </c>
      <c r="B20" s="14" t="s">
        <v>81</v>
      </c>
      <c r="C20" s="14" t="s">
        <v>82</v>
      </c>
      <c r="D20" s="15" t="n">
        <f aca="false">0_参数!$C$9</f>
        <v>1</v>
      </c>
      <c r="E20" s="16" t="s">
        <v>83</v>
      </c>
    </row>
    <row r="21" customFormat="false" ht="15" hidden="false" customHeight="false" outlineLevel="0" collapsed="false">
      <c r="A21" s="13" t="s">
        <v>84</v>
      </c>
      <c r="B21" s="14" t="s">
        <v>85</v>
      </c>
      <c r="C21" s="14" t="s">
        <v>82</v>
      </c>
      <c r="D21" s="15" t="n">
        <f aca="false">0_参数!$C$10</f>
        <v>10</v>
      </c>
      <c r="E21" s="16" t="s">
        <v>86</v>
      </c>
    </row>
    <row r="22" customFormat="false" ht="15" hidden="false" customHeight="false" outlineLevel="0" collapsed="false">
      <c r="A22" s="13" t="s">
        <v>87</v>
      </c>
      <c r="B22" s="14" t="s">
        <v>88</v>
      </c>
      <c r="C22" s="14" t="s">
        <v>89</v>
      </c>
      <c r="D22" s="15" t="n">
        <f aca="false">0_参数!$C$67</f>
        <v>36</v>
      </c>
      <c r="E22" s="16" t="s">
        <v>90</v>
      </c>
    </row>
    <row r="23" customFormat="false" ht="15" hidden="false" customHeight="false" outlineLevel="0" collapsed="false">
      <c r="A23" s="9" t="s">
        <v>91</v>
      </c>
      <c r="B23" s="10" t="s">
        <v>92</v>
      </c>
      <c r="C23" s="9"/>
      <c r="D23" s="11"/>
      <c r="E23" s="12"/>
    </row>
    <row r="24" customFormat="false" ht="15" hidden="false" customHeight="false" outlineLevel="0" collapsed="false">
      <c r="A24" s="13" t="s">
        <v>93</v>
      </c>
      <c r="B24" s="14" t="s">
        <v>94</v>
      </c>
      <c r="C24" s="14" t="s">
        <v>95</v>
      </c>
      <c r="D24" s="20" t="n">
        <f aca="false">1_总投资估算!$G$33</f>
        <v>124539.383604745</v>
      </c>
      <c r="E24" s="16" t="s">
        <v>96</v>
      </c>
    </row>
    <row r="25" customFormat="false" ht="15" hidden="false" customHeight="false" outlineLevel="0" collapsed="false">
      <c r="A25" s="13" t="s">
        <v>97</v>
      </c>
      <c r="B25" s="14" t="s">
        <v>98</v>
      </c>
      <c r="C25" s="14" t="s">
        <v>95</v>
      </c>
      <c r="D25" s="20" t="n">
        <f aca="false">1_总投资估算!$G$5</f>
        <v>110463.8</v>
      </c>
      <c r="E25" s="16" t="s">
        <v>96</v>
      </c>
    </row>
    <row r="26" customFormat="false" ht="15" hidden="false" customHeight="false" outlineLevel="0" collapsed="false">
      <c r="A26" s="13" t="s">
        <v>99</v>
      </c>
      <c r="B26" s="14" t="s">
        <v>100</v>
      </c>
      <c r="C26" s="14" t="s">
        <v>95</v>
      </c>
      <c r="D26" s="20" t="n">
        <f aca="false">1_总投资估算!$G$8</f>
        <v>6123.82482</v>
      </c>
      <c r="E26" s="16" t="s">
        <v>96</v>
      </c>
    </row>
    <row r="27" customFormat="false" ht="15" hidden="false" customHeight="false" outlineLevel="0" collapsed="false">
      <c r="A27" s="13" t="s">
        <v>101</v>
      </c>
      <c r="B27" s="14" t="s">
        <v>102</v>
      </c>
      <c r="C27" s="14" t="s">
        <v>95</v>
      </c>
      <c r="D27" s="20" t="n">
        <f aca="false">1_总投资估算!$G$26</f>
        <v>5829.381241</v>
      </c>
      <c r="E27" s="16" t="s">
        <v>96</v>
      </c>
    </row>
    <row r="28" customFormat="false" ht="15" hidden="false" customHeight="false" outlineLevel="0" collapsed="false">
      <c r="A28" s="13" t="s">
        <v>103</v>
      </c>
      <c r="B28" s="14" t="s">
        <v>104</v>
      </c>
      <c r="C28" s="14" t="s">
        <v>95</v>
      </c>
      <c r="D28" s="20" t="n">
        <f aca="false">1_总投资估算!$G$30</f>
        <v>1536.255090915</v>
      </c>
      <c r="E28" s="16" t="s">
        <v>105</v>
      </c>
    </row>
    <row r="29" customFormat="false" ht="15" hidden="false" customHeight="false" outlineLevel="0" collapsed="false">
      <c r="A29" s="13" t="s">
        <v>106</v>
      </c>
      <c r="B29" s="14" t="s">
        <v>107</v>
      </c>
      <c r="C29" s="14" t="s">
        <v>95</v>
      </c>
      <c r="D29" s="20" t="n">
        <f aca="false">1_总投资估算!$G$32</f>
        <v>586.122452830189</v>
      </c>
      <c r="E29" s="16" t="s">
        <v>108</v>
      </c>
    </row>
    <row r="30" customFormat="false" ht="15" hidden="false" customHeight="false" outlineLevel="0" collapsed="false">
      <c r="A30" s="13" t="s">
        <v>109</v>
      </c>
      <c r="B30" s="14" t="s">
        <v>110</v>
      </c>
      <c r="C30" s="14" t="s">
        <v>95</v>
      </c>
      <c r="D30" s="20" t="n">
        <f aca="false">'1-2_设备及软件'!$F$12</f>
        <v>94250</v>
      </c>
      <c r="E30" s="16" t="s">
        <v>111</v>
      </c>
    </row>
    <row r="31" customFormat="false" ht="15" hidden="false" customHeight="false" outlineLevel="0" collapsed="false">
      <c r="A31" s="13" t="s">
        <v>112</v>
      </c>
      <c r="B31" s="14" t="s">
        <v>113</v>
      </c>
      <c r="C31" s="14" t="s">
        <v>95</v>
      </c>
      <c r="D31" s="20" t="n">
        <f aca="false">'1-2_设备及软件'!$F$22</f>
        <v>13402</v>
      </c>
      <c r="E31" s="16" t="s">
        <v>114</v>
      </c>
    </row>
    <row r="32" customFormat="false" ht="15" hidden="false" customHeight="false" outlineLevel="0" collapsed="false">
      <c r="A32" s="13" t="s">
        <v>115</v>
      </c>
      <c r="B32" s="14" t="s">
        <v>116</v>
      </c>
      <c r="C32" s="14" t="s">
        <v>95</v>
      </c>
      <c r="D32" s="20" t="n">
        <f aca="false">0_参数!$C$89</f>
        <v>20000</v>
      </c>
      <c r="E32" s="16" t="s">
        <v>117</v>
      </c>
    </row>
    <row r="33" customFormat="false" ht="15" hidden="false" customHeight="false" outlineLevel="0" collapsed="false">
      <c r="A33" s="9" t="s">
        <v>118</v>
      </c>
      <c r="B33" s="10" t="s">
        <v>119</v>
      </c>
      <c r="C33" s="9"/>
      <c r="D33" s="11"/>
      <c r="E33" s="12"/>
    </row>
    <row r="34" customFormat="false" ht="15" hidden="false" customHeight="false" outlineLevel="0" collapsed="false">
      <c r="A34" s="13" t="s">
        <v>120</v>
      </c>
      <c r="B34" s="14" t="s">
        <v>121</v>
      </c>
      <c r="C34" s="14" t="s">
        <v>95</v>
      </c>
      <c r="D34" s="20" t="n">
        <f aca="false">INDEX(6_收入税金!D$11:U$11,0_参数!$C$9+0_参数!$C$15)</f>
        <v>23963.7735849057</v>
      </c>
      <c r="E34" s="16" t="s">
        <v>122</v>
      </c>
    </row>
    <row r="35" customFormat="false" ht="15" hidden="false" customHeight="false" outlineLevel="0" collapsed="false">
      <c r="A35" s="13" t="s">
        <v>123</v>
      </c>
      <c r="B35" s="14" t="s">
        <v>124</v>
      </c>
      <c r="C35" s="14" t="s">
        <v>95</v>
      </c>
      <c r="D35" s="20" t="n">
        <f aca="false">4_总成本费用!$V$27</f>
        <v>15898.981807666</v>
      </c>
      <c r="E35" s="16" t="s">
        <v>67</v>
      </c>
    </row>
    <row r="36" customFormat="false" ht="15" hidden="false" customHeight="false" outlineLevel="0" collapsed="false">
      <c r="A36" s="13" t="s">
        <v>125</v>
      </c>
      <c r="B36" s="14" t="s">
        <v>126</v>
      </c>
      <c r="C36" s="14" t="s">
        <v>95</v>
      </c>
      <c r="D36" s="20" t="n">
        <f aca="false">7_利润!$V$12</f>
        <v>7798.5276262963</v>
      </c>
      <c r="E36" s="16" t="s">
        <v>127</v>
      </c>
    </row>
    <row r="37" customFormat="false" ht="15" hidden="false" customHeight="false" outlineLevel="0" collapsed="false">
      <c r="A37" s="13" t="s">
        <v>128</v>
      </c>
      <c r="B37" s="14" t="s">
        <v>129</v>
      </c>
      <c r="C37" s="14" t="s">
        <v>95</v>
      </c>
      <c r="D37" s="20" t="n">
        <f aca="false">7_利润!$V$14</f>
        <v>1949.63190657408</v>
      </c>
      <c r="E37" s="16" t="s">
        <v>127</v>
      </c>
    </row>
    <row r="38" customFormat="false" ht="15" hidden="false" customHeight="false" outlineLevel="0" collapsed="false">
      <c r="A38" s="13" t="s">
        <v>130</v>
      </c>
      <c r="B38" s="14" t="s">
        <v>131</v>
      </c>
      <c r="C38" s="14" t="s">
        <v>95</v>
      </c>
      <c r="D38" s="20" t="n">
        <f aca="false">7_利润!$V$15</f>
        <v>5848.89571972223</v>
      </c>
      <c r="E38" s="16" t="s">
        <v>127</v>
      </c>
    </row>
    <row r="39" customFormat="false" ht="15" hidden="false" customHeight="false" outlineLevel="0" collapsed="false">
      <c r="A39" s="13" t="s">
        <v>132</v>
      </c>
      <c r="B39" s="14" t="s">
        <v>133</v>
      </c>
      <c r="C39" s="13" t="s">
        <v>134</v>
      </c>
      <c r="D39" s="21" t="n">
        <f aca="false">8_现金流量!$D$39</f>
        <v>0.0626189675953974</v>
      </c>
      <c r="E39" s="16" t="s">
        <v>135</v>
      </c>
    </row>
    <row r="40" customFormat="false" ht="15" hidden="false" customHeight="false" outlineLevel="0" collapsed="false">
      <c r="A40" s="13" t="s">
        <v>136</v>
      </c>
      <c r="B40" s="14" t="s">
        <v>137</v>
      </c>
      <c r="C40" s="13" t="s">
        <v>134</v>
      </c>
      <c r="D40" s="21" t="n">
        <f aca="false">8_现金流量!$D$40</f>
        <v>0.0626189675953974</v>
      </c>
      <c r="E40" s="16" t="s">
        <v>135</v>
      </c>
    </row>
    <row r="41" customFormat="false" ht="15" hidden="false" customHeight="false" outlineLevel="0" collapsed="false">
      <c r="A41" s="13" t="s">
        <v>138</v>
      </c>
      <c r="B41" s="14" t="s">
        <v>139</v>
      </c>
      <c r="C41" s="13" t="s">
        <v>134</v>
      </c>
      <c r="D41" s="21" t="n">
        <f aca="false">8_现金流量!$D$29</f>
        <v>0.10281066169749</v>
      </c>
      <c r="E41" s="16" t="s">
        <v>135</v>
      </c>
    </row>
    <row r="42" customFormat="false" ht="15" hidden="false" customHeight="false" outlineLevel="0" collapsed="false">
      <c r="A42" s="13" t="s">
        <v>140</v>
      </c>
      <c r="B42" s="14" t="s">
        <v>141</v>
      </c>
      <c r="C42" s="13" t="s">
        <v>134</v>
      </c>
      <c r="D42" s="21" t="n">
        <f aca="false">8_现金流量!$D$30</f>
        <v>0.0802554945268062</v>
      </c>
      <c r="E42" s="16" t="s">
        <v>135</v>
      </c>
    </row>
    <row r="43" customFormat="false" ht="15" hidden="false" customHeight="false" outlineLevel="0" collapsed="false">
      <c r="A43" s="13" t="s">
        <v>142</v>
      </c>
      <c r="B43" s="14" t="s">
        <v>143</v>
      </c>
      <c r="C43" s="14" t="s">
        <v>95</v>
      </c>
      <c r="D43" s="20" t="n">
        <f aca="false">8_现金流量!$D$31</f>
        <v>12574.9089023974</v>
      </c>
      <c r="E43" s="16" t="s">
        <v>135</v>
      </c>
    </row>
    <row r="44" customFormat="false" ht="15" hidden="false" customHeight="false" outlineLevel="0" collapsed="false">
      <c r="A44" s="13" t="s">
        <v>144</v>
      </c>
      <c r="B44" s="14" t="s">
        <v>145</v>
      </c>
      <c r="C44" s="14" t="s">
        <v>95</v>
      </c>
      <c r="D44" s="20" t="n">
        <f aca="false">8_现金流量!$D$32</f>
        <v>130.515751937298</v>
      </c>
      <c r="E44" s="16" t="s">
        <v>135</v>
      </c>
    </row>
    <row r="45" customFormat="false" ht="15" hidden="false" customHeight="false" outlineLevel="0" collapsed="false">
      <c r="A45" s="13" t="s">
        <v>146</v>
      </c>
      <c r="B45" s="14" t="s">
        <v>147</v>
      </c>
      <c r="C45" s="14" t="s">
        <v>82</v>
      </c>
      <c r="D45" s="22" t="n">
        <f aca="false">8_现金流量!$D$35</f>
        <v>10.08976250658</v>
      </c>
      <c r="E45" s="16" t="s">
        <v>135</v>
      </c>
    </row>
    <row r="46" customFormat="false" ht="15" hidden="false" customHeight="false" outlineLevel="0" collapsed="false">
      <c r="A46" s="13" t="s">
        <v>148</v>
      </c>
      <c r="B46" s="14" t="s">
        <v>149</v>
      </c>
      <c r="C46" s="14" t="s">
        <v>82</v>
      </c>
      <c r="D46" s="22" t="n">
        <f aca="false">8_现金流量!$D$36</f>
        <v>10.989015105694</v>
      </c>
      <c r="E46" s="16" t="s">
        <v>135</v>
      </c>
    </row>
    <row r="47" customFormat="false" ht="15" hidden="false" customHeight="false" outlineLevel="0" collapsed="false">
      <c r="A47" s="13" t="s">
        <v>150</v>
      </c>
      <c r="B47" s="14" t="s">
        <v>151</v>
      </c>
      <c r="C47" s="13" t="s">
        <v>134</v>
      </c>
      <c r="D47" s="21" t="n">
        <f aca="false">8_现金流量!$D$38</f>
        <v>1.03288702847122</v>
      </c>
      <c r="E47" s="16" t="s">
        <v>135</v>
      </c>
    </row>
    <row r="48" customFormat="false" ht="15" hidden="false" customHeight="false" outlineLevel="0" collapsed="false">
      <c r="A48" s="13" t="s">
        <v>152</v>
      </c>
      <c r="B48" s="14" t="s">
        <v>153</v>
      </c>
      <c r="C48" s="13" t="s">
        <v>134</v>
      </c>
      <c r="D48" s="21" t="n">
        <f aca="false">10_资产负债!$V$27</f>
        <v>0.851346127942223</v>
      </c>
      <c r="E48" s="16" t="s">
        <v>154</v>
      </c>
    </row>
    <row r="49" customFormat="false" ht="15" hidden="false" customHeight="false" outlineLevel="0" collapsed="false">
      <c r="A49" s="13" t="s">
        <v>155</v>
      </c>
      <c r="B49" s="14" t="s">
        <v>156</v>
      </c>
      <c r="C49" s="14" t="s">
        <v>157</v>
      </c>
      <c r="D49" s="22" t="n">
        <f aca="false">11_还本付息!$V$25</f>
        <v>-0.256723141111443</v>
      </c>
      <c r="E49" s="16" t="s">
        <v>158</v>
      </c>
    </row>
    <row r="50" customFormat="false" ht="15" hidden="false" customHeight="false" outlineLevel="0" collapsed="false">
      <c r="A50" s="13" t="s">
        <v>159</v>
      </c>
      <c r="B50" s="14" t="s">
        <v>160</v>
      </c>
      <c r="C50" s="14" t="s">
        <v>157</v>
      </c>
      <c r="D50" s="22" t="n">
        <f aca="false">11_还本付息!$V$26</f>
        <v>1.26963919798448</v>
      </c>
      <c r="E50" s="16" t="s">
        <v>158</v>
      </c>
    </row>
    <row r="51" customFormat="false" ht="15" hidden="false" customHeight="false" outlineLevel="0" collapsed="false">
      <c r="A51" s="9" t="s">
        <v>161</v>
      </c>
      <c r="B51" s="10" t="s">
        <v>162</v>
      </c>
      <c r="C51" s="9"/>
      <c r="D51" s="11"/>
      <c r="E51" s="12"/>
    </row>
    <row r="52" customFormat="false" ht="15" hidden="false" customHeight="false" outlineLevel="0" collapsed="false">
      <c r="A52" s="13" t="s">
        <v>163</v>
      </c>
      <c r="B52" s="14" t="s">
        <v>164</v>
      </c>
      <c r="C52" s="14"/>
      <c r="D52" s="23" t="str">
        <f aca="false">0_参数!$C$7</f>
        <v>人民币（含税）</v>
      </c>
      <c r="E52" s="16" t="s">
        <v>165</v>
      </c>
    </row>
    <row r="53" customFormat="false" ht="15" hidden="false" customHeight="false" outlineLevel="0" collapsed="false">
      <c r="A53" s="13" t="s">
        <v>166</v>
      </c>
      <c r="B53" s="14" t="s">
        <v>167</v>
      </c>
      <c r="C53" s="14"/>
      <c r="D53" s="23" t="str">
        <f aca="false">0_参数!$C$8</f>
        <v>2026</v>
      </c>
      <c r="E5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44"/>
    <col collapsed="false" customWidth="true" hidden="false" outlineLevel="0" max="19" min="6" style="0" width="9"/>
  </cols>
  <sheetData>
    <row r="1" customFormat="false" ht="21.6" hidden="false" customHeight="false" outlineLevel="0" collapsed="false">
      <c r="A1" s="24" t="s">
        <v>168</v>
      </c>
    </row>
    <row r="2" customFormat="false" ht="15" hidden="false" customHeight="false" outlineLevel="0" collapsed="false">
      <c r="A2" s="7" t="s">
        <v>169</v>
      </c>
    </row>
    <row r="4" customFormat="false" ht="19.4" hidden="false" customHeight="false" outlineLevel="0" collapsed="false">
      <c r="A4" s="25" t="s">
        <v>170</v>
      </c>
      <c r="B4" s="26"/>
      <c r="C4" s="26"/>
      <c r="D4" s="26"/>
      <c r="E4" s="26"/>
    </row>
    <row r="5" customFormat="false" ht="15" hidden="false" customHeight="false" outlineLevel="0" collapsed="false">
      <c r="A5" s="27" t="s">
        <v>171</v>
      </c>
      <c r="B5" s="27" t="s">
        <v>172</v>
      </c>
      <c r="C5" s="27" t="s">
        <v>28</v>
      </c>
      <c r="D5" s="27" t="s">
        <v>27</v>
      </c>
      <c r="E5" s="27" t="s">
        <v>173</v>
      </c>
    </row>
    <row r="6" customFormat="false" ht="15" hidden="false" customHeight="false" outlineLevel="0" collapsed="false">
      <c r="A6" s="13" t="s">
        <v>174</v>
      </c>
      <c r="B6" s="14" t="s">
        <v>175</v>
      </c>
      <c r="C6" s="28" t="s">
        <v>176</v>
      </c>
      <c r="D6" s="14"/>
      <c r="E6" s="16" t="s">
        <v>177</v>
      </c>
    </row>
    <row r="7" customFormat="false" ht="44" hidden="false" customHeight="false" outlineLevel="0" collapsed="false">
      <c r="A7" s="13" t="s">
        <v>178</v>
      </c>
      <c r="B7" s="14" t="s">
        <v>179</v>
      </c>
      <c r="C7" s="28" t="s">
        <v>180</v>
      </c>
      <c r="D7" s="14"/>
      <c r="E7" s="16" t="s">
        <v>181</v>
      </c>
    </row>
    <row r="8" customFormat="false" ht="15" hidden="false" customHeight="false" outlineLevel="0" collapsed="false">
      <c r="A8" s="13" t="s">
        <v>182</v>
      </c>
      <c r="B8" s="14" t="s">
        <v>167</v>
      </c>
      <c r="C8" s="29" t="s">
        <v>183</v>
      </c>
      <c r="D8" s="14" t="s">
        <v>82</v>
      </c>
      <c r="E8" s="16" t="s">
        <v>184</v>
      </c>
    </row>
    <row r="9" customFormat="false" ht="29.85" hidden="false" customHeight="false" outlineLevel="0" collapsed="false">
      <c r="A9" s="13" t="s">
        <v>185</v>
      </c>
      <c r="B9" s="14" t="s">
        <v>81</v>
      </c>
      <c r="C9" s="30" t="n">
        <v>1</v>
      </c>
      <c r="D9" s="14" t="s">
        <v>82</v>
      </c>
      <c r="E9" s="31" t="s">
        <v>186</v>
      </c>
    </row>
    <row r="10" customFormat="false" ht="15" hidden="false" customHeight="false" outlineLevel="0" collapsed="false">
      <c r="A10" s="13" t="s">
        <v>187</v>
      </c>
      <c r="B10" s="14" t="s">
        <v>85</v>
      </c>
      <c r="C10" s="30" t="n">
        <v>10</v>
      </c>
      <c r="D10" s="14" t="s">
        <v>82</v>
      </c>
      <c r="E10" s="31" t="s">
        <v>188</v>
      </c>
    </row>
    <row r="11" customFormat="false" ht="15" hidden="false" customHeight="false" outlineLevel="0" collapsed="false">
      <c r="A11" s="13" t="s">
        <v>189</v>
      </c>
      <c r="B11" s="14" t="s">
        <v>190</v>
      </c>
      <c r="C11" s="32" t="n">
        <v>1</v>
      </c>
      <c r="D11" s="14"/>
      <c r="E11" s="16" t="s">
        <v>191</v>
      </c>
    </row>
    <row r="12" customFormat="false" ht="15" hidden="false" customHeight="false" outlineLevel="0" collapsed="false">
      <c r="A12" s="13" t="s">
        <v>192</v>
      </c>
      <c r="B12" s="14" t="s">
        <v>193</v>
      </c>
      <c r="C12" s="32" t="n">
        <v>0</v>
      </c>
      <c r="D12" s="14"/>
      <c r="E12" s="16"/>
    </row>
    <row r="13" customFormat="false" ht="15" hidden="false" customHeight="false" outlineLevel="0" collapsed="false">
      <c r="A13" s="13" t="s">
        <v>194</v>
      </c>
      <c r="B13" s="14" t="s">
        <v>195</v>
      </c>
      <c r="C13" s="32" t="n">
        <v>0</v>
      </c>
      <c r="D13" s="14"/>
      <c r="E13" s="16"/>
    </row>
    <row r="14" customFormat="false" ht="15" hidden="false" customHeight="false" outlineLevel="0" collapsed="false">
      <c r="A14" s="13" t="s">
        <v>196</v>
      </c>
      <c r="B14" s="14" t="s">
        <v>197</v>
      </c>
      <c r="C14" s="32" t="n">
        <v>0.08</v>
      </c>
      <c r="D14" s="14"/>
      <c r="E14" s="16" t="s">
        <v>198</v>
      </c>
    </row>
    <row r="15" customFormat="false" ht="15" hidden="false" customHeight="false" outlineLevel="0" collapsed="false">
      <c r="A15" s="13" t="s">
        <v>199</v>
      </c>
      <c r="B15" s="14" t="s">
        <v>200</v>
      </c>
      <c r="C15" s="30" t="n">
        <v>3</v>
      </c>
      <c r="D15" s="14"/>
      <c r="E15" s="16" t="s">
        <v>201</v>
      </c>
    </row>
    <row r="16" customFormat="false" ht="19.4" hidden="false" customHeight="false" outlineLevel="0" collapsed="false">
      <c r="A16" s="25" t="s">
        <v>202</v>
      </c>
      <c r="B16" s="26"/>
      <c r="C16" s="26"/>
      <c r="D16" s="26"/>
      <c r="E16" s="26"/>
    </row>
    <row r="17" customFormat="false" ht="15" hidden="false" customHeight="false" outlineLevel="0" collapsed="false">
      <c r="A17" s="27" t="s">
        <v>171</v>
      </c>
      <c r="B17" s="27" t="s">
        <v>172</v>
      </c>
      <c r="C17" s="27" t="s">
        <v>28</v>
      </c>
      <c r="D17" s="27" t="s">
        <v>27</v>
      </c>
      <c r="E17" s="27" t="s">
        <v>173</v>
      </c>
    </row>
    <row r="18" customFormat="false" ht="15" hidden="false" customHeight="false" outlineLevel="0" collapsed="false">
      <c r="A18" s="13" t="s">
        <v>203</v>
      </c>
      <c r="B18" s="14" t="s">
        <v>33</v>
      </c>
      <c r="C18" s="30" t="n">
        <v>4</v>
      </c>
      <c r="D18" s="14" t="s">
        <v>34</v>
      </c>
      <c r="E18" s="16" t="s">
        <v>204</v>
      </c>
    </row>
    <row r="19" customFormat="false" ht="15" hidden="false" customHeight="false" outlineLevel="0" collapsed="false">
      <c r="A19" s="13" t="s">
        <v>205</v>
      </c>
      <c r="B19" s="14" t="s">
        <v>206</v>
      </c>
      <c r="C19" s="33" t="n">
        <v>528</v>
      </c>
      <c r="D19" s="13" t="s">
        <v>38</v>
      </c>
      <c r="E19" s="16" t="s">
        <v>207</v>
      </c>
    </row>
    <row r="20" customFormat="false" ht="15" hidden="false" customHeight="false" outlineLevel="0" collapsed="false">
      <c r="A20" s="13" t="s">
        <v>208</v>
      </c>
      <c r="B20" s="13" t="s">
        <v>37</v>
      </c>
      <c r="C20" s="17" t="n">
        <f aca="false">0_参数!$C$18*0_参数!$C$19</f>
        <v>2112</v>
      </c>
      <c r="D20" s="13" t="s">
        <v>38</v>
      </c>
      <c r="E20" s="16" t="s">
        <v>209</v>
      </c>
    </row>
    <row r="21" customFormat="false" ht="15" hidden="false" customHeight="false" outlineLevel="0" collapsed="false">
      <c r="A21" s="13" t="s">
        <v>210</v>
      </c>
      <c r="B21" s="14" t="s">
        <v>211</v>
      </c>
      <c r="C21" s="34" t="n">
        <v>2.5</v>
      </c>
      <c r="D21" s="13" t="s">
        <v>212</v>
      </c>
      <c r="E21" s="16" t="s">
        <v>213</v>
      </c>
    </row>
    <row r="22" customFormat="false" ht="15" hidden="false" customHeight="false" outlineLevel="0" collapsed="false">
      <c r="A22" s="13" t="s">
        <v>214</v>
      </c>
      <c r="B22" s="14" t="s">
        <v>215</v>
      </c>
      <c r="C22" s="17" t="n">
        <f aca="false">0_参数!$C$20/0_参数!$C$21</f>
        <v>844.8</v>
      </c>
      <c r="D22" s="14" t="s">
        <v>42</v>
      </c>
      <c r="E22" s="16" t="s">
        <v>216</v>
      </c>
    </row>
    <row r="23" customFormat="false" ht="29.85" hidden="false" customHeight="false" outlineLevel="0" collapsed="false">
      <c r="A23" s="13" t="s">
        <v>217</v>
      </c>
      <c r="B23" s="14" t="s">
        <v>45</v>
      </c>
      <c r="C23" s="35" t="n">
        <v>168</v>
      </c>
      <c r="D23" s="14" t="s">
        <v>46</v>
      </c>
      <c r="E23" s="16" t="s">
        <v>218</v>
      </c>
    </row>
    <row r="24" customFormat="false" ht="15" hidden="false" customHeight="false" outlineLevel="0" collapsed="false">
      <c r="A24" s="13" t="s">
        <v>219</v>
      </c>
      <c r="B24" s="14" t="s">
        <v>220</v>
      </c>
      <c r="C24" s="36" t="n">
        <v>18</v>
      </c>
      <c r="D24" s="13" t="s">
        <v>50</v>
      </c>
      <c r="E24" s="16" t="s">
        <v>221</v>
      </c>
    </row>
    <row r="25" customFormat="false" ht="15" hidden="false" customHeight="false" outlineLevel="0" collapsed="false">
      <c r="A25" s="13" t="s">
        <v>222</v>
      </c>
      <c r="B25" s="14" t="s">
        <v>223</v>
      </c>
      <c r="C25" s="17" t="n">
        <f aca="false">0_参数!$C$23*0_参数!$C$24</f>
        <v>3024</v>
      </c>
      <c r="D25" s="13" t="s">
        <v>50</v>
      </c>
      <c r="E25" s="16"/>
    </row>
    <row r="26" customFormat="false" ht="15" hidden="false" customHeight="false" outlineLevel="0" collapsed="false">
      <c r="A26" s="13" t="s">
        <v>224</v>
      </c>
      <c r="B26" s="14" t="s">
        <v>225</v>
      </c>
      <c r="C26" s="15" t="n">
        <f aca="false">0_参数!$C$23</f>
        <v>168</v>
      </c>
      <c r="D26" s="14" t="s">
        <v>46</v>
      </c>
      <c r="E26" s="16" t="s">
        <v>226</v>
      </c>
    </row>
    <row r="27" customFormat="false" ht="19.4" hidden="false" customHeight="false" outlineLevel="0" collapsed="false">
      <c r="A27" s="25" t="s">
        <v>227</v>
      </c>
      <c r="B27" s="26"/>
      <c r="C27" s="26"/>
      <c r="D27" s="26"/>
      <c r="E27" s="26"/>
    </row>
    <row r="28" customFormat="false" ht="15" hidden="false" customHeight="false" outlineLevel="0" collapsed="false">
      <c r="A28" s="27" t="s">
        <v>171</v>
      </c>
      <c r="B28" s="27" t="s">
        <v>172</v>
      </c>
      <c r="C28" s="27" t="s">
        <v>28</v>
      </c>
      <c r="D28" s="27" t="s">
        <v>27</v>
      </c>
      <c r="E28" s="27" t="s">
        <v>173</v>
      </c>
    </row>
    <row r="29" customFormat="false" ht="15" hidden="false" customHeight="false" outlineLevel="0" collapsed="false">
      <c r="A29" s="13" t="s">
        <v>228</v>
      </c>
      <c r="B29" s="14" t="s">
        <v>69</v>
      </c>
      <c r="C29" s="37" t="n">
        <v>1.18</v>
      </c>
      <c r="D29" s="14"/>
      <c r="E29" s="31" t="s">
        <v>229</v>
      </c>
    </row>
    <row r="30" customFormat="false" ht="15" hidden="false" customHeight="false" outlineLevel="0" collapsed="false">
      <c r="A30" s="13" t="s">
        <v>230</v>
      </c>
      <c r="B30" s="14" t="s">
        <v>53</v>
      </c>
      <c r="C30" s="33" t="n">
        <v>1500</v>
      </c>
      <c r="D30" s="14" t="s">
        <v>54</v>
      </c>
      <c r="E30" s="16" t="s">
        <v>231</v>
      </c>
    </row>
    <row r="31" customFormat="false" ht="15" hidden="false" customHeight="false" outlineLevel="0" collapsed="false">
      <c r="A31" s="13" t="s">
        <v>232</v>
      </c>
      <c r="B31" s="14" t="s">
        <v>233</v>
      </c>
      <c r="C31" s="30" t="n">
        <v>30</v>
      </c>
      <c r="D31" s="13" t="s">
        <v>234</v>
      </c>
      <c r="E31" s="16"/>
    </row>
    <row r="32" customFormat="false" ht="15" hidden="false" customHeight="false" outlineLevel="0" collapsed="false">
      <c r="A32" s="13" t="s">
        <v>235</v>
      </c>
      <c r="B32" s="14" t="s">
        <v>236</v>
      </c>
      <c r="C32" s="20" t="n">
        <f aca="false">0_参数!$C$30*0_参数!$C$31/1000</f>
        <v>45</v>
      </c>
      <c r="D32" s="13" t="s">
        <v>38</v>
      </c>
      <c r="E32" s="16"/>
    </row>
    <row r="33" customFormat="false" ht="15" hidden="false" customHeight="false" outlineLevel="0" collapsed="false">
      <c r="A33" s="13" t="s">
        <v>237</v>
      </c>
      <c r="B33" s="14" t="s">
        <v>238</v>
      </c>
      <c r="C33" s="20" t="n">
        <f aca="false">0_参数!$C$20*(0_参数!$C$29-1)</f>
        <v>380.16</v>
      </c>
      <c r="D33" s="13" t="s">
        <v>38</v>
      </c>
      <c r="E33" s="16" t="s">
        <v>239</v>
      </c>
    </row>
    <row r="34" customFormat="false" ht="15" hidden="false" customHeight="false" outlineLevel="0" collapsed="false">
      <c r="A34" s="13" t="s">
        <v>240</v>
      </c>
      <c r="B34" s="14" t="s">
        <v>59</v>
      </c>
      <c r="C34" s="20" t="n">
        <f aca="false">0_参数!$C$20+0_参数!$C$32+0_参数!$C$33</f>
        <v>2537.16</v>
      </c>
      <c r="D34" s="13" t="s">
        <v>38</v>
      </c>
      <c r="E34" s="16" t="s">
        <v>241</v>
      </c>
    </row>
    <row r="35" customFormat="false" ht="15" hidden="false" customHeight="false" outlineLevel="0" collapsed="false">
      <c r="A35" s="13" t="s">
        <v>242</v>
      </c>
      <c r="B35" s="14" t="s">
        <v>243</v>
      </c>
      <c r="C35" s="38" t="n">
        <v>0.6</v>
      </c>
      <c r="D35" s="14"/>
      <c r="E35" s="16"/>
    </row>
    <row r="36" customFormat="false" ht="15" hidden="false" customHeight="false" outlineLevel="0" collapsed="false">
      <c r="A36" s="13" t="s">
        <v>244</v>
      </c>
      <c r="B36" s="14" t="s">
        <v>245</v>
      </c>
      <c r="C36" s="30" t="n">
        <v>8760</v>
      </c>
      <c r="D36" s="13" t="s">
        <v>246</v>
      </c>
      <c r="E36" s="16"/>
    </row>
    <row r="37" customFormat="false" ht="15" hidden="false" customHeight="false" outlineLevel="0" collapsed="false">
      <c r="A37" s="13" t="s">
        <v>247</v>
      </c>
      <c r="B37" s="14" t="s">
        <v>248</v>
      </c>
      <c r="C37" s="33" t="n">
        <v>16000</v>
      </c>
      <c r="D37" s="13" t="s">
        <v>73</v>
      </c>
      <c r="E37" s="16" t="s">
        <v>249</v>
      </c>
    </row>
    <row r="38" customFormat="false" ht="15" hidden="false" customHeight="false" outlineLevel="0" collapsed="false">
      <c r="A38" s="13" t="s">
        <v>250</v>
      </c>
      <c r="B38" s="14" t="s">
        <v>251</v>
      </c>
      <c r="C38" s="37" t="n">
        <v>0.45</v>
      </c>
      <c r="D38" s="14" t="s">
        <v>252</v>
      </c>
      <c r="E38" s="16" t="s">
        <v>253</v>
      </c>
    </row>
    <row r="39" customFormat="false" ht="15" hidden="false" customHeight="false" outlineLevel="0" collapsed="false">
      <c r="A39" s="13" t="s">
        <v>254</v>
      </c>
      <c r="B39" s="14" t="s">
        <v>255</v>
      </c>
      <c r="C39" s="32" t="n">
        <v>0.13</v>
      </c>
      <c r="D39" s="14"/>
      <c r="E39" s="16"/>
    </row>
    <row r="40" customFormat="false" ht="15" hidden="false" customHeight="false" outlineLevel="0" collapsed="false">
      <c r="A40" s="13" t="s">
        <v>256</v>
      </c>
      <c r="B40" s="14" t="s">
        <v>257</v>
      </c>
      <c r="C40" s="38" t="n">
        <v>4.5</v>
      </c>
      <c r="D40" s="14" t="s">
        <v>258</v>
      </c>
      <c r="E40" s="16"/>
    </row>
    <row r="41" customFormat="false" ht="15" hidden="false" customHeight="false" outlineLevel="0" collapsed="false">
      <c r="A41" s="13" t="s">
        <v>259</v>
      </c>
      <c r="B41" s="14" t="s">
        <v>260</v>
      </c>
      <c r="C41" s="32" t="n">
        <v>0.09</v>
      </c>
      <c r="D41" s="14"/>
      <c r="E41" s="16"/>
    </row>
    <row r="42" customFormat="false" ht="19.4" hidden="false" customHeight="false" outlineLevel="0" collapsed="false">
      <c r="A42" s="25" t="s">
        <v>261</v>
      </c>
      <c r="B42" s="26"/>
      <c r="C42" s="26"/>
      <c r="D42" s="26"/>
      <c r="E42" s="26"/>
    </row>
    <row r="43" customFormat="false" ht="15" hidden="false" customHeight="false" outlineLevel="0" collapsed="false">
      <c r="A43" s="27" t="s">
        <v>171</v>
      </c>
      <c r="B43" s="27" t="s">
        <v>172</v>
      </c>
      <c r="C43" s="27" t="s">
        <v>28</v>
      </c>
      <c r="D43" s="27" t="s">
        <v>27</v>
      </c>
      <c r="E43" s="27" t="s">
        <v>173</v>
      </c>
    </row>
    <row r="44" customFormat="false" ht="15" hidden="false" customHeight="false" outlineLevel="0" collapsed="false">
      <c r="A44" s="13" t="s">
        <v>262</v>
      </c>
      <c r="B44" s="14" t="s">
        <v>263</v>
      </c>
      <c r="C44" s="39" t="n">
        <v>14</v>
      </c>
      <c r="D44" s="14" t="s">
        <v>264</v>
      </c>
      <c r="E44" s="16" t="s">
        <v>265</v>
      </c>
    </row>
    <row r="45" customFormat="false" ht="15" hidden="false" customHeight="false" outlineLevel="0" collapsed="false">
      <c r="A45" s="13" t="s">
        <v>266</v>
      </c>
      <c r="B45" s="14" t="s">
        <v>267</v>
      </c>
      <c r="C45" s="22" t="n">
        <f aca="false">12_敏感性!$C$6</f>
        <v>1</v>
      </c>
      <c r="D45" s="14"/>
      <c r="E45" s="16" t="s">
        <v>268</v>
      </c>
    </row>
    <row r="46" customFormat="false" ht="15" hidden="false" customHeight="false" outlineLevel="0" collapsed="false">
      <c r="A46" s="13" t="s">
        <v>269</v>
      </c>
      <c r="B46" s="14" t="s">
        <v>270</v>
      </c>
      <c r="C46" s="20" t="n">
        <f aca="false">0_参数!$C$44*0_参数!$C$45</f>
        <v>14</v>
      </c>
      <c r="D46" s="14" t="s">
        <v>264</v>
      </c>
      <c r="E46" s="16"/>
    </row>
    <row r="47" customFormat="false" ht="15" hidden="false" customHeight="false" outlineLevel="0" collapsed="false">
      <c r="A47" s="13" t="s">
        <v>271</v>
      </c>
      <c r="B47" s="14" t="s">
        <v>272</v>
      </c>
      <c r="C47" s="32" t="n">
        <v>0.06</v>
      </c>
      <c r="D47" s="14"/>
      <c r="E47" s="16" t="s">
        <v>273</v>
      </c>
    </row>
    <row r="48" customFormat="false" ht="15" hidden="false" customHeight="false" outlineLevel="0" collapsed="false">
      <c r="A48" s="13" t="s">
        <v>274</v>
      </c>
      <c r="B48" s="14" t="s">
        <v>275</v>
      </c>
      <c r="C48" s="22" t="n">
        <f aca="false">12_敏感性!$C$7</f>
        <v>1</v>
      </c>
      <c r="D48" s="14"/>
      <c r="E48" s="16" t="s">
        <v>276</v>
      </c>
    </row>
    <row r="49" customFormat="false" ht="15" hidden="false" customHeight="false" outlineLevel="0" collapsed="false">
      <c r="A49" s="13" t="s">
        <v>277</v>
      </c>
      <c r="B49" s="14" t="s">
        <v>278</v>
      </c>
      <c r="C49" s="22" t="n">
        <f aca="false">12_敏感性!$C$8</f>
        <v>1</v>
      </c>
      <c r="D49" s="14"/>
      <c r="E49" s="16" t="s">
        <v>276</v>
      </c>
    </row>
    <row r="50" customFormat="false" ht="15" hidden="false" customHeight="false" outlineLevel="0" collapsed="false">
      <c r="A50" s="13" t="s">
        <v>279</v>
      </c>
      <c r="B50" s="14" t="s">
        <v>280</v>
      </c>
      <c r="C50" s="22" t="n">
        <f aca="false">12_敏感性!$C$9</f>
        <v>1</v>
      </c>
      <c r="D50" s="14"/>
      <c r="E50" s="16" t="s">
        <v>276</v>
      </c>
    </row>
    <row r="51" customFormat="false" ht="15" hidden="false" customHeight="false" outlineLevel="0" collapsed="false">
      <c r="A51" s="13" t="s">
        <v>281</v>
      </c>
      <c r="B51" s="14" t="s">
        <v>282</v>
      </c>
      <c r="C51" s="22" t="n">
        <f aca="false">12_敏感性!$C$10</f>
        <v>1</v>
      </c>
      <c r="D51" s="14"/>
      <c r="E51" s="16" t="s">
        <v>276</v>
      </c>
    </row>
    <row r="52" customFormat="false" ht="19.4" hidden="false" customHeight="false" outlineLevel="0" collapsed="false">
      <c r="A52" s="25" t="s">
        <v>283</v>
      </c>
      <c r="B52" s="26"/>
      <c r="C52" s="26"/>
      <c r="D52" s="26"/>
      <c r="E52" s="26"/>
    </row>
    <row r="53" customFormat="false" ht="15" hidden="false" customHeight="false" outlineLevel="0" collapsed="false">
      <c r="A53" s="27" t="s">
        <v>171</v>
      </c>
      <c r="B53" s="27" t="s">
        <v>172</v>
      </c>
      <c r="C53" s="27" t="s">
        <v>28</v>
      </c>
      <c r="D53" s="27" t="s">
        <v>27</v>
      </c>
      <c r="E53" s="27" t="s">
        <v>173</v>
      </c>
    </row>
    <row r="54" customFormat="false" ht="15" hidden="false" customHeight="false" outlineLevel="0" collapsed="false">
      <c r="A54" s="13" t="s">
        <v>284</v>
      </c>
      <c r="B54" s="14" t="s">
        <v>285</v>
      </c>
      <c r="C54" s="30" t="n">
        <v>2</v>
      </c>
      <c r="D54" s="14" t="s">
        <v>286</v>
      </c>
      <c r="E54" s="16"/>
    </row>
    <row r="55" customFormat="false" ht="15" hidden="false" customHeight="false" outlineLevel="0" collapsed="false">
      <c r="A55" s="13" t="s">
        <v>287</v>
      </c>
      <c r="B55" s="14" t="s">
        <v>288</v>
      </c>
      <c r="C55" s="40" t="n">
        <v>300</v>
      </c>
      <c r="D55" s="14" t="s">
        <v>289</v>
      </c>
      <c r="E55" s="16"/>
    </row>
    <row r="56" customFormat="false" ht="15" hidden="false" customHeight="false" outlineLevel="0" collapsed="false">
      <c r="A56" s="13" t="s">
        <v>290</v>
      </c>
      <c r="B56" s="14" t="s">
        <v>291</v>
      </c>
      <c r="C56" s="32" t="n">
        <v>0.06</v>
      </c>
      <c r="D56" s="14"/>
      <c r="E56" s="16"/>
    </row>
    <row r="57" customFormat="false" ht="15" hidden="false" customHeight="false" outlineLevel="0" collapsed="false">
      <c r="A57" s="13" t="s">
        <v>292</v>
      </c>
      <c r="B57" s="14" t="s">
        <v>293</v>
      </c>
      <c r="C57" s="40" t="n">
        <v>600</v>
      </c>
      <c r="D57" s="14" t="s">
        <v>294</v>
      </c>
      <c r="E57" s="16" t="s">
        <v>295</v>
      </c>
    </row>
    <row r="58" customFormat="false" ht="15" hidden="false" customHeight="false" outlineLevel="0" collapsed="false">
      <c r="A58" s="13" t="s">
        <v>296</v>
      </c>
      <c r="B58" s="14" t="s">
        <v>297</v>
      </c>
      <c r="C58" s="32" t="n">
        <v>0.06</v>
      </c>
      <c r="D58" s="14"/>
      <c r="E58" s="16" t="s">
        <v>298</v>
      </c>
    </row>
    <row r="59" customFormat="false" ht="15" hidden="false" customHeight="false" outlineLevel="0" collapsed="false">
      <c r="A59" s="13" t="s">
        <v>299</v>
      </c>
      <c r="B59" s="14" t="s">
        <v>300</v>
      </c>
      <c r="C59" s="32" t="n">
        <v>0.05</v>
      </c>
      <c r="D59" s="14"/>
      <c r="E59" s="16"/>
    </row>
    <row r="60" customFormat="false" ht="15" hidden="false" customHeight="false" outlineLevel="0" collapsed="false">
      <c r="A60" s="13" t="s">
        <v>301</v>
      </c>
      <c r="B60" s="14" t="s">
        <v>302</v>
      </c>
      <c r="C60" s="32" t="n">
        <v>0.01</v>
      </c>
      <c r="D60" s="14"/>
      <c r="E60" s="16"/>
    </row>
    <row r="61" customFormat="false" ht="15" hidden="false" customHeight="false" outlineLevel="0" collapsed="false">
      <c r="A61" s="13" t="s">
        <v>303</v>
      </c>
      <c r="B61" s="14" t="s">
        <v>304</v>
      </c>
      <c r="C61" s="30" t="n">
        <v>5</v>
      </c>
      <c r="D61" s="14" t="s">
        <v>89</v>
      </c>
      <c r="E61" s="16"/>
    </row>
    <row r="62" customFormat="false" ht="15" hidden="false" customHeight="false" outlineLevel="0" collapsed="false">
      <c r="A62" s="13" t="s">
        <v>305</v>
      </c>
      <c r="B62" s="14" t="s">
        <v>306</v>
      </c>
      <c r="C62" s="30" t="n">
        <v>25</v>
      </c>
      <c r="D62" s="14" t="s">
        <v>89</v>
      </c>
      <c r="E62" s="31" t="s">
        <v>307</v>
      </c>
    </row>
    <row r="63" customFormat="false" ht="15" hidden="false" customHeight="false" outlineLevel="0" collapsed="false">
      <c r="A63" s="13" t="s">
        <v>308</v>
      </c>
      <c r="B63" s="14" t="s">
        <v>309</v>
      </c>
      <c r="C63" s="30" t="n">
        <v>6</v>
      </c>
      <c r="D63" s="14" t="s">
        <v>89</v>
      </c>
      <c r="E63" s="16"/>
    </row>
    <row r="64" customFormat="false" ht="15" hidden="false" customHeight="false" outlineLevel="0" collapsed="false">
      <c r="A64" s="13" t="s">
        <v>310</v>
      </c>
      <c r="B64" s="14" t="s">
        <v>311</v>
      </c>
      <c r="C64" s="40" t="n">
        <v>20</v>
      </c>
      <c r="D64" s="14" t="s">
        <v>312</v>
      </c>
      <c r="E64" s="16"/>
    </row>
    <row r="65" customFormat="false" ht="15" hidden="false" customHeight="false" outlineLevel="0" collapsed="false">
      <c r="A65" s="13" t="s">
        <v>313</v>
      </c>
      <c r="B65" s="14" t="s">
        <v>314</v>
      </c>
      <c r="C65" s="40" t="n">
        <v>15</v>
      </c>
      <c r="D65" s="14" t="s">
        <v>312</v>
      </c>
      <c r="E65" s="16"/>
    </row>
    <row r="66" customFormat="false" ht="15" hidden="false" customHeight="false" outlineLevel="0" collapsed="false">
      <c r="A66" s="13" t="s">
        <v>315</v>
      </c>
      <c r="B66" s="14" t="s">
        <v>316</v>
      </c>
      <c r="C66" s="40" t="n">
        <v>6</v>
      </c>
      <c r="D66" s="14" t="s">
        <v>312</v>
      </c>
      <c r="E66" s="16"/>
    </row>
    <row r="67" customFormat="false" ht="15" hidden="false" customHeight="false" outlineLevel="0" collapsed="false">
      <c r="A67" s="13" t="s">
        <v>317</v>
      </c>
      <c r="B67" s="14" t="s">
        <v>318</v>
      </c>
      <c r="C67" s="15" t="n">
        <f aca="false">0_参数!$C$61+0_参数!$C$62+0_参数!$C$63</f>
        <v>36</v>
      </c>
      <c r="D67" s="14" t="s">
        <v>89</v>
      </c>
      <c r="E67" s="16" t="s">
        <v>319</v>
      </c>
    </row>
    <row r="68" customFormat="false" ht="15" hidden="false" customHeight="false" outlineLevel="0" collapsed="false">
      <c r="A68" s="13" t="s">
        <v>320</v>
      </c>
      <c r="B68" s="14" t="s">
        <v>321</v>
      </c>
      <c r="C68" s="20" t="n">
        <f aca="false">0_参数!$C$61*0_参数!$C$64+0_参数!$C$62*0_参数!$C$65+0_参数!$C$63*0_参数!$C$66</f>
        <v>511</v>
      </c>
      <c r="D68" s="14" t="s">
        <v>294</v>
      </c>
      <c r="E68" s="16"/>
    </row>
    <row r="69" customFormat="false" ht="15" hidden="false" customHeight="false" outlineLevel="0" collapsed="false">
      <c r="A69" s="13" t="s">
        <v>322</v>
      </c>
      <c r="B69" s="14" t="s">
        <v>323</v>
      </c>
      <c r="C69" s="32" t="n">
        <v>0.2</v>
      </c>
      <c r="D69" s="14"/>
      <c r="E69" s="16" t="s">
        <v>324</v>
      </c>
    </row>
    <row r="70" customFormat="false" ht="19.4" hidden="false" customHeight="false" outlineLevel="0" collapsed="false">
      <c r="A70" s="25" t="s">
        <v>325</v>
      </c>
      <c r="B70" s="26"/>
      <c r="C70" s="26"/>
      <c r="D70" s="26"/>
      <c r="E70" s="26"/>
    </row>
    <row r="71" customFormat="false" ht="15" hidden="false" customHeight="false" outlineLevel="0" collapsed="false">
      <c r="A71" s="27" t="s">
        <v>171</v>
      </c>
      <c r="B71" s="27" t="s">
        <v>172</v>
      </c>
      <c r="C71" s="27" t="s">
        <v>28</v>
      </c>
      <c r="D71" s="27" t="s">
        <v>27</v>
      </c>
      <c r="E71" s="27" t="s">
        <v>173</v>
      </c>
    </row>
    <row r="72" customFormat="false" ht="15" hidden="false" customHeight="false" outlineLevel="0" collapsed="false">
      <c r="A72" s="13" t="s">
        <v>326</v>
      </c>
      <c r="B72" s="14" t="s">
        <v>327</v>
      </c>
      <c r="C72" s="30" t="n">
        <v>20</v>
      </c>
      <c r="D72" s="14" t="s">
        <v>82</v>
      </c>
      <c r="E72" s="16" t="s">
        <v>328</v>
      </c>
    </row>
    <row r="73" customFormat="false" ht="15" hidden="false" customHeight="false" outlineLevel="0" collapsed="false">
      <c r="A73" s="13" t="s">
        <v>329</v>
      </c>
      <c r="B73" s="14" t="s">
        <v>330</v>
      </c>
      <c r="C73" s="30" t="n">
        <v>15</v>
      </c>
      <c r="D73" s="14" t="s">
        <v>82</v>
      </c>
      <c r="E73" s="16" t="s">
        <v>331</v>
      </c>
    </row>
    <row r="74" customFormat="false" ht="29.85" hidden="false" customHeight="false" outlineLevel="0" collapsed="false">
      <c r="A74" s="13" t="s">
        <v>332</v>
      </c>
      <c r="B74" s="14" t="s">
        <v>333</v>
      </c>
      <c r="C74" s="35" t="n">
        <v>5</v>
      </c>
      <c r="D74" s="14" t="s">
        <v>82</v>
      </c>
      <c r="E74" s="16" t="s">
        <v>334</v>
      </c>
    </row>
    <row r="75" customFormat="false" ht="15" hidden="false" customHeight="false" outlineLevel="0" collapsed="false">
      <c r="A75" s="13" t="s">
        <v>335</v>
      </c>
      <c r="B75" s="14" t="s">
        <v>336</v>
      </c>
      <c r="C75" s="32" t="n">
        <v>0.05</v>
      </c>
      <c r="D75" s="14"/>
      <c r="E75" s="16"/>
    </row>
    <row r="76" customFormat="false" ht="15" hidden="false" customHeight="false" outlineLevel="0" collapsed="false">
      <c r="A76" s="13" t="s">
        <v>337</v>
      </c>
      <c r="B76" s="14" t="s">
        <v>338</v>
      </c>
      <c r="C76" s="30" t="n">
        <v>5</v>
      </c>
      <c r="D76" s="14" t="s">
        <v>82</v>
      </c>
      <c r="E76" s="16" t="s">
        <v>339</v>
      </c>
    </row>
    <row r="77" customFormat="false" ht="15" hidden="false" customHeight="false" outlineLevel="0" collapsed="false">
      <c r="A77" s="13" t="s">
        <v>340</v>
      </c>
      <c r="B77" s="14" t="s">
        <v>341</v>
      </c>
      <c r="C77" s="30" t="n">
        <v>1</v>
      </c>
      <c r="D77" s="13" t="s">
        <v>342</v>
      </c>
      <c r="E77" s="31" t="s">
        <v>343</v>
      </c>
    </row>
    <row r="78" customFormat="false" ht="19.4" hidden="false" customHeight="false" outlineLevel="0" collapsed="false">
      <c r="A78" s="25" t="s">
        <v>344</v>
      </c>
      <c r="B78" s="26"/>
      <c r="C78" s="26"/>
      <c r="D78" s="26"/>
      <c r="E78" s="26"/>
    </row>
    <row r="79" customFormat="false" ht="15" hidden="false" customHeight="false" outlineLevel="0" collapsed="false">
      <c r="A79" s="27" t="s">
        <v>171</v>
      </c>
      <c r="B79" s="27" t="s">
        <v>172</v>
      </c>
      <c r="C79" s="27" t="s">
        <v>28</v>
      </c>
      <c r="D79" s="27" t="s">
        <v>27</v>
      </c>
      <c r="E79" s="27" t="s">
        <v>173</v>
      </c>
    </row>
    <row r="80" customFormat="false" ht="15" hidden="false" customHeight="false" outlineLevel="0" collapsed="false">
      <c r="A80" s="13" t="s">
        <v>345</v>
      </c>
      <c r="B80" s="14" t="s">
        <v>346</v>
      </c>
      <c r="C80" s="32" t="n">
        <v>0.09</v>
      </c>
      <c r="D80" s="14"/>
      <c r="E80" s="16"/>
    </row>
    <row r="81" customFormat="false" ht="15" hidden="false" customHeight="false" outlineLevel="0" collapsed="false">
      <c r="A81" s="13" t="s">
        <v>347</v>
      </c>
      <c r="B81" s="14" t="s">
        <v>348</v>
      </c>
      <c r="C81" s="32" t="n">
        <v>0.13</v>
      </c>
      <c r="D81" s="14"/>
      <c r="E81" s="16"/>
    </row>
    <row r="82" customFormat="false" ht="15" hidden="false" customHeight="false" outlineLevel="0" collapsed="false">
      <c r="A82" s="13" t="s">
        <v>349</v>
      </c>
      <c r="B82" s="14" t="s">
        <v>350</v>
      </c>
      <c r="C82" s="32" t="n">
        <v>0.07</v>
      </c>
      <c r="D82" s="14"/>
      <c r="E82" s="16" t="s">
        <v>351</v>
      </c>
    </row>
    <row r="83" customFormat="false" ht="15" hidden="false" customHeight="false" outlineLevel="0" collapsed="false">
      <c r="A83" s="13" t="s">
        <v>352</v>
      </c>
      <c r="B83" s="14" t="s">
        <v>353</v>
      </c>
      <c r="C83" s="32" t="n">
        <v>0.03</v>
      </c>
      <c r="D83" s="14"/>
      <c r="E83" s="16"/>
    </row>
    <row r="84" customFormat="false" ht="15" hidden="false" customHeight="false" outlineLevel="0" collapsed="false">
      <c r="A84" s="13" t="s">
        <v>354</v>
      </c>
      <c r="B84" s="14" t="s">
        <v>355</v>
      </c>
      <c r="C84" s="32" t="n">
        <v>0.02</v>
      </c>
      <c r="D84" s="14"/>
      <c r="E84" s="16"/>
    </row>
    <row r="85" customFormat="false" ht="15" hidden="false" customHeight="false" outlineLevel="0" collapsed="false">
      <c r="A85" s="13" t="s">
        <v>356</v>
      </c>
      <c r="B85" s="14" t="s">
        <v>357</v>
      </c>
      <c r="C85" s="32" t="n">
        <v>0.25</v>
      </c>
      <c r="D85" s="14"/>
      <c r="E85" s="16" t="s">
        <v>358</v>
      </c>
    </row>
    <row r="86" customFormat="false" ht="15" hidden="false" customHeight="false" outlineLevel="0" collapsed="false">
      <c r="A86" s="13" t="s">
        <v>359</v>
      </c>
      <c r="B86" s="14" t="s">
        <v>360</v>
      </c>
      <c r="C86" s="32" t="n">
        <v>0.1</v>
      </c>
      <c r="D86" s="14"/>
      <c r="E86" s="16"/>
    </row>
    <row r="87" customFormat="false" ht="19.4" hidden="false" customHeight="false" outlineLevel="0" collapsed="false">
      <c r="A87" s="25" t="s">
        <v>361</v>
      </c>
      <c r="B87" s="26"/>
      <c r="C87" s="26"/>
      <c r="D87" s="26"/>
      <c r="E87" s="26"/>
    </row>
    <row r="88" customFormat="false" ht="15" hidden="false" customHeight="false" outlineLevel="0" collapsed="false">
      <c r="A88" s="27" t="s">
        <v>171</v>
      </c>
      <c r="B88" s="27" t="s">
        <v>172</v>
      </c>
      <c r="C88" s="27" t="s">
        <v>28</v>
      </c>
      <c r="D88" s="27" t="s">
        <v>27</v>
      </c>
      <c r="E88" s="27" t="s">
        <v>173</v>
      </c>
    </row>
    <row r="89" customFormat="false" ht="15" hidden="false" customHeight="false" outlineLevel="0" collapsed="false">
      <c r="A89" s="13" t="s">
        <v>362</v>
      </c>
      <c r="B89" s="14" t="s">
        <v>363</v>
      </c>
      <c r="C89" s="40" t="n">
        <v>20000</v>
      </c>
      <c r="D89" s="14" t="s">
        <v>95</v>
      </c>
      <c r="E89" s="16" t="s">
        <v>364</v>
      </c>
    </row>
    <row r="90" customFormat="false" ht="15" hidden="false" customHeight="false" outlineLevel="0" collapsed="false">
      <c r="A90" s="13" t="s">
        <v>365</v>
      </c>
      <c r="B90" s="14" t="s">
        <v>366</v>
      </c>
      <c r="C90" s="41" t="n">
        <v>0.03</v>
      </c>
      <c r="D90" s="14"/>
      <c r="E90" s="16"/>
    </row>
    <row r="91" customFormat="false" ht="15" hidden="false" customHeight="false" outlineLevel="0" collapsed="false">
      <c r="A91" s="13" t="s">
        <v>367</v>
      </c>
      <c r="B91" s="14" t="s">
        <v>368</v>
      </c>
      <c r="C91" s="30" t="n">
        <v>10</v>
      </c>
      <c r="D91" s="14" t="s">
        <v>82</v>
      </c>
      <c r="E91" s="16" t="s">
        <v>369</v>
      </c>
    </row>
    <row r="92" customFormat="false" ht="15" hidden="false" customHeight="false" outlineLevel="0" collapsed="false">
      <c r="A92" s="13" t="s">
        <v>370</v>
      </c>
      <c r="B92" s="14" t="s">
        <v>371</v>
      </c>
      <c r="C92" s="30" t="n">
        <v>1</v>
      </c>
      <c r="D92" s="13" t="s">
        <v>342</v>
      </c>
      <c r="E92" s="31" t="s">
        <v>372</v>
      </c>
    </row>
    <row r="93" customFormat="false" ht="15" hidden="false" customHeight="false" outlineLevel="0" collapsed="false">
      <c r="A93" s="13" t="s">
        <v>373</v>
      </c>
      <c r="B93" s="14" t="s">
        <v>374</v>
      </c>
      <c r="C93" s="32" t="n">
        <v>0.7</v>
      </c>
      <c r="D93" s="14"/>
      <c r="E93" s="16" t="s">
        <v>375</v>
      </c>
    </row>
    <row r="94" customFormat="false" ht="15" hidden="false" customHeight="false" outlineLevel="0" collapsed="false">
      <c r="A94" s="13" t="s">
        <v>376</v>
      </c>
      <c r="B94" s="14" t="s">
        <v>377</v>
      </c>
      <c r="C94" s="41" t="n">
        <v>0.035</v>
      </c>
      <c r="D94" s="14"/>
      <c r="E94" s="16"/>
    </row>
    <row r="95" customFormat="false" ht="19.4" hidden="false" customHeight="false" outlineLevel="0" collapsed="false">
      <c r="A95" s="25" t="s">
        <v>378</v>
      </c>
      <c r="B95" s="26"/>
      <c r="C95" s="26"/>
      <c r="D95" s="26"/>
      <c r="E95" s="26"/>
    </row>
    <row r="96" customFormat="false" ht="15" hidden="false" customHeight="false" outlineLevel="0" collapsed="false">
      <c r="A96" s="27" t="s">
        <v>171</v>
      </c>
      <c r="B96" s="27" t="s">
        <v>172</v>
      </c>
      <c r="C96" s="27" t="s">
        <v>28</v>
      </c>
      <c r="D96" s="27" t="s">
        <v>27</v>
      </c>
      <c r="E96" s="27" t="s">
        <v>173</v>
      </c>
    </row>
    <row r="97" customFormat="false" ht="15" hidden="false" customHeight="false" outlineLevel="0" collapsed="false">
      <c r="A97" s="13" t="s">
        <v>379</v>
      </c>
      <c r="B97" s="14" t="s">
        <v>380</v>
      </c>
      <c r="C97" s="30" t="n">
        <v>30</v>
      </c>
      <c r="D97" s="14" t="s">
        <v>381</v>
      </c>
      <c r="E97" s="16"/>
    </row>
    <row r="98" customFormat="false" ht="15" hidden="false" customHeight="false" outlineLevel="0" collapsed="false">
      <c r="A98" s="13" t="s">
        <v>382</v>
      </c>
      <c r="B98" s="14" t="s">
        <v>383</v>
      </c>
      <c r="C98" s="30" t="n">
        <v>30</v>
      </c>
      <c r="D98" s="14" t="s">
        <v>381</v>
      </c>
      <c r="E98" s="16"/>
    </row>
    <row r="99" customFormat="false" ht="15" hidden="false" customHeight="false" outlineLevel="0" collapsed="false">
      <c r="A99" s="13" t="s">
        <v>384</v>
      </c>
      <c r="B99" s="14" t="s">
        <v>385</v>
      </c>
      <c r="C99" s="30" t="n">
        <v>30</v>
      </c>
      <c r="D99" s="14" t="s">
        <v>381</v>
      </c>
      <c r="E99" s="16"/>
    </row>
    <row r="100" customFormat="false" ht="15" hidden="false" customHeight="false" outlineLevel="0" collapsed="false">
      <c r="A100" s="13" t="s">
        <v>386</v>
      </c>
      <c r="B100" s="14" t="s">
        <v>387</v>
      </c>
      <c r="C100" s="30" t="n">
        <v>30</v>
      </c>
      <c r="D100" s="14" t="s">
        <v>381</v>
      </c>
      <c r="E100" s="16"/>
    </row>
    <row r="101" customFormat="false" ht="15" hidden="false" customHeight="false" outlineLevel="0" collapsed="false">
      <c r="A101" s="13" t="s">
        <v>388</v>
      </c>
      <c r="B101" s="14" t="s">
        <v>389</v>
      </c>
      <c r="C101" s="30" t="n">
        <v>360</v>
      </c>
      <c r="D101" s="14" t="s">
        <v>381</v>
      </c>
      <c r="E101" s="16"/>
    </row>
    <row r="102" customFormat="false" ht="19.4" hidden="false" customHeight="false" outlineLevel="0" collapsed="false">
      <c r="A102" s="25" t="s">
        <v>390</v>
      </c>
      <c r="B102" s="26"/>
      <c r="C102" s="26"/>
      <c r="D102" s="26"/>
      <c r="E102" s="26"/>
    </row>
    <row r="103" customFormat="false" ht="15" hidden="false" customHeight="false" outlineLevel="0" collapsed="false">
      <c r="A103" s="27" t="s">
        <v>171</v>
      </c>
      <c r="B103" s="27" t="s">
        <v>172</v>
      </c>
      <c r="C103" s="27" t="s">
        <v>28</v>
      </c>
      <c r="D103" s="27" t="s">
        <v>27</v>
      </c>
      <c r="E103" s="27" t="s">
        <v>173</v>
      </c>
    </row>
    <row r="104" customFormat="false" ht="15" hidden="false" customHeight="false" outlineLevel="0" collapsed="false">
      <c r="A104" s="13" t="s">
        <v>391</v>
      </c>
      <c r="B104" s="14" t="s">
        <v>392</v>
      </c>
      <c r="C104" s="40" t="n">
        <v>330</v>
      </c>
      <c r="D104" s="14" t="s">
        <v>95</v>
      </c>
      <c r="E104" s="16" t="s">
        <v>393</v>
      </c>
    </row>
    <row r="105" customFormat="false" ht="15" hidden="false" customHeight="false" outlineLevel="0" collapsed="false">
      <c r="A105" s="13" t="s">
        <v>394</v>
      </c>
      <c r="B105" s="14" t="s">
        <v>395</v>
      </c>
      <c r="C105" s="41" t="n">
        <v>0.013</v>
      </c>
      <c r="D105" s="14"/>
      <c r="E105" s="16" t="s">
        <v>396</v>
      </c>
    </row>
    <row r="106" customFormat="false" ht="15" hidden="false" customHeight="false" outlineLevel="0" collapsed="false">
      <c r="A106" s="13" t="s">
        <v>397</v>
      </c>
      <c r="B106" s="14" t="s">
        <v>398</v>
      </c>
      <c r="C106" s="41" t="n">
        <v>0.013</v>
      </c>
      <c r="D106" s="14"/>
      <c r="E106" s="16" t="s">
        <v>399</v>
      </c>
    </row>
    <row r="107" customFormat="false" ht="15" hidden="false" customHeight="false" outlineLevel="0" collapsed="false">
      <c r="A107" s="13" t="s">
        <v>400</v>
      </c>
      <c r="B107" s="14" t="s">
        <v>401</v>
      </c>
      <c r="C107" s="41" t="n">
        <v>0.004</v>
      </c>
      <c r="D107" s="14"/>
      <c r="E107" s="16" t="s">
        <v>402</v>
      </c>
    </row>
    <row r="108" customFormat="false" ht="15" hidden="false" customHeight="false" outlineLevel="0" collapsed="false">
      <c r="A108" s="13" t="s">
        <v>403</v>
      </c>
      <c r="B108" s="14" t="s">
        <v>404</v>
      </c>
      <c r="C108" s="41" t="n">
        <v>0.017</v>
      </c>
      <c r="D108" s="14"/>
      <c r="E108" s="16" t="s">
        <v>405</v>
      </c>
    </row>
    <row r="109" customFormat="false" ht="15" hidden="false" customHeight="false" outlineLevel="0" collapsed="false">
      <c r="A109" s="13" t="s">
        <v>406</v>
      </c>
      <c r="B109" s="14" t="s">
        <v>407</v>
      </c>
      <c r="C109" s="40" t="n">
        <v>30</v>
      </c>
      <c r="D109" s="14" t="s">
        <v>95</v>
      </c>
      <c r="E109" s="16" t="s">
        <v>408</v>
      </c>
    </row>
    <row r="110" customFormat="false" ht="15" hidden="false" customHeight="false" outlineLevel="0" collapsed="false">
      <c r="A110" s="13" t="s">
        <v>409</v>
      </c>
      <c r="B110" s="14" t="s">
        <v>410</v>
      </c>
      <c r="C110" s="40" t="n">
        <v>50</v>
      </c>
      <c r="D110" s="14" t="s">
        <v>95</v>
      </c>
      <c r="E110" s="16" t="s">
        <v>411</v>
      </c>
    </row>
    <row r="111" customFormat="false" ht="15" hidden="false" customHeight="false" outlineLevel="0" collapsed="false">
      <c r="A111" s="13" t="s">
        <v>412</v>
      </c>
      <c r="B111" s="14" t="s">
        <v>413</v>
      </c>
      <c r="C111" s="40" t="n">
        <v>40</v>
      </c>
      <c r="D111" s="14" t="s">
        <v>95</v>
      </c>
      <c r="E111" s="16" t="s">
        <v>414</v>
      </c>
    </row>
    <row r="112" customFormat="false" ht="15" hidden="false" customHeight="false" outlineLevel="0" collapsed="false">
      <c r="A112" s="13" t="s">
        <v>415</v>
      </c>
      <c r="B112" s="14" t="s">
        <v>416</v>
      </c>
      <c r="C112" s="41" t="n">
        <v>0.002</v>
      </c>
      <c r="D112" s="14"/>
      <c r="E112" s="16"/>
    </row>
    <row r="113" customFormat="false" ht="15" hidden="false" customHeight="false" outlineLevel="0" collapsed="false">
      <c r="A113" s="13" t="s">
        <v>417</v>
      </c>
      <c r="B113" s="14" t="s">
        <v>418</v>
      </c>
      <c r="C113" s="41" t="n">
        <v>0.008</v>
      </c>
      <c r="D113" s="14"/>
      <c r="E113" s="16"/>
    </row>
    <row r="114" customFormat="false" ht="15" hidden="false" customHeight="false" outlineLevel="0" collapsed="false">
      <c r="A114" s="13" t="s">
        <v>419</v>
      </c>
      <c r="B114" s="14" t="s">
        <v>420</v>
      </c>
      <c r="C114" s="41" t="n">
        <v>0.0008</v>
      </c>
      <c r="D114" s="14"/>
      <c r="E114" s="16" t="s">
        <v>421</v>
      </c>
    </row>
    <row r="115" customFormat="false" ht="15" hidden="false" customHeight="false" outlineLevel="0" collapsed="false">
      <c r="A115" s="13" t="s">
        <v>422</v>
      </c>
      <c r="B115" s="14" t="s">
        <v>423</v>
      </c>
      <c r="C115" s="41" t="n">
        <v>0.0035</v>
      </c>
      <c r="D115" s="14"/>
      <c r="E115" s="16"/>
    </row>
    <row r="116" customFormat="false" ht="15" hidden="false" customHeight="false" outlineLevel="0" collapsed="false">
      <c r="A116" s="13" t="s">
        <v>424</v>
      </c>
      <c r="B116" s="14" t="s">
        <v>425</v>
      </c>
      <c r="C116" s="41" t="n">
        <v>0.01</v>
      </c>
      <c r="D116" s="14"/>
      <c r="E116" s="16"/>
    </row>
    <row r="117" customFormat="false" ht="15" hidden="false" customHeight="false" outlineLevel="0" collapsed="false">
      <c r="A117" s="13" t="s">
        <v>426</v>
      </c>
      <c r="B117" s="14" t="s">
        <v>427</v>
      </c>
      <c r="C117" s="41" t="n">
        <v>0.0001</v>
      </c>
      <c r="D117" s="14"/>
      <c r="E117" s="16"/>
    </row>
    <row r="118" customFormat="false" ht="15" hidden="false" customHeight="false" outlineLevel="0" collapsed="false">
      <c r="A118" s="13" t="s">
        <v>428</v>
      </c>
      <c r="B118" s="14" t="s">
        <v>429</v>
      </c>
      <c r="C118" s="40" t="n">
        <v>5.1</v>
      </c>
      <c r="D118" s="14" t="s">
        <v>95</v>
      </c>
      <c r="E118" s="16" t="s">
        <v>430</v>
      </c>
    </row>
    <row r="119" customFormat="false" ht="15" hidden="false" customHeight="false" outlineLevel="0" collapsed="false">
      <c r="A119" s="13" t="s">
        <v>431</v>
      </c>
      <c r="B119" s="14" t="s">
        <v>432</v>
      </c>
      <c r="C119" s="40" t="n">
        <v>7.2</v>
      </c>
      <c r="D119" s="14" t="s">
        <v>95</v>
      </c>
      <c r="E119" s="16" t="s">
        <v>430</v>
      </c>
    </row>
    <row r="120" customFormat="false" ht="15" hidden="false" customHeight="false" outlineLevel="0" collapsed="false">
      <c r="A120" s="13" t="s">
        <v>433</v>
      </c>
      <c r="B120" s="14" t="s">
        <v>434</v>
      </c>
      <c r="C120" s="40" t="n">
        <v>30</v>
      </c>
      <c r="D120" s="14" t="s">
        <v>95</v>
      </c>
      <c r="E120" s="16" t="s">
        <v>430</v>
      </c>
    </row>
    <row r="121" customFormat="false" ht="15" hidden="false" customHeight="false" outlineLevel="0" collapsed="false">
      <c r="A121" s="13" t="s">
        <v>435</v>
      </c>
      <c r="B121" s="14" t="s">
        <v>436</v>
      </c>
      <c r="C121" s="32" t="n">
        <v>0.05</v>
      </c>
      <c r="D121" s="14"/>
      <c r="E121" s="16"/>
    </row>
    <row r="122" customFormat="false" ht="15" hidden="false" customHeight="false" outlineLevel="0" collapsed="false">
      <c r="A122" s="13" t="s">
        <v>437</v>
      </c>
      <c r="B122" s="14" t="s">
        <v>438</v>
      </c>
      <c r="C122" s="32" t="n">
        <v>0</v>
      </c>
      <c r="D122" s="14"/>
      <c r="E122" s="16" t="s">
        <v>439</v>
      </c>
    </row>
    <row r="124" customFormat="false" ht="19.4" hidden="false" customHeight="false" outlineLevel="0" collapsed="false">
      <c r="A124" s="25" t="s">
        <v>440</v>
      </c>
    </row>
    <row r="125" customFormat="false" ht="15" hidden="false" customHeight="false" outlineLevel="0" collapsed="false">
      <c r="A125" s="27" t="s">
        <v>171</v>
      </c>
      <c r="B125" s="27" t="s">
        <v>172</v>
      </c>
      <c r="C125" s="27" t="s">
        <v>441</v>
      </c>
      <c r="D125" s="8" t="s">
        <v>442</v>
      </c>
      <c r="E125" s="8" t="s">
        <v>443</v>
      </c>
      <c r="F125" s="8" t="s">
        <v>444</v>
      </c>
      <c r="G125" s="8" t="s">
        <v>445</v>
      </c>
      <c r="H125" s="8" t="s">
        <v>446</v>
      </c>
      <c r="I125" s="8" t="s">
        <v>447</v>
      </c>
      <c r="J125" s="8" t="s">
        <v>448</v>
      </c>
      <c r="K125" s="8" t="s">
        <v>449</v>
      </c>
      <c r="L125" s="8" t="s">
        <v>450</v>
      </c>
      <c r="M125" s="8" t="s">
        <v>451</v>
      </c>
      <c r="N125" s="8" t="s">
        <v>452</v>
      </c>
      <c r="O125" s="8" t="s">
        <v>453</v>
      </c>
      <c r="P125" s="8" t="s">
        <v>454</v>
      </c>
      <c r="Q125" s="8" t="s">
        <v>455</v>
      </c>
      <c r="R125" s="8" t="s">
        <v>456</v>
      </c>
    </row>
    <row r="126" customFormat="false" ht="58.2" hidden="false" customHeight="false" outlineLevel="0" collapsed="false">
      <c r="A126" s="13" t="s">
        <v>457</v>
      </c>
      <c r="B126" s="14" t="s">
        <v>458</v>
      </c>
      <c r="C126" s="16" t="s">
        <v>459</v>
      </c>
      <c r="D126" s="32" t="n">
        <v>1</v>
      </c>
      <c r="E126" s="32" t="n">
        <v>1</v>
      </c>
      <c r="F126" s="32" t="n">
        <v>1</v>
      </c>
      <c r="G126" s="32" t="n">
        <v>1</v>
      </c>
      <c r="H126" s="32" t="n">
        <v>1</v>
      </c>
      <c r="I126" s="32" t="n">
        <v>1</v>
      </c>
      <c r="J126" s="32" t="n">
        <v>1</v>
      </c>
      <c r="K126" s="32" t="n">
        <v>1</v>
      </c>
      <c r="L126" s="32" t="n">
        <v>1</v>
      </c>
      <c r="M126" s="32" t="n">
        <v>1</v>
      </c>
      <c r="N126" s="32" t="n">
        <v>1</v>
      </c>
      <c r="O126" s="32" t="n">
        <v>1</v>
      </c>
      <c r="P126" s="32" t="n">
        <v>1</v>
      </c>
      <c r="Q126" s="32" t="n">
        <v>1</v>
      </c>
      <c r="R126" s="32" t="n">
        <v>1</v>
      </c>
    </row>
    <row r="127" customFormat="false" ht="55.2" hidden="false" customHeight="false" outlineLevel="0" collapsed="false">
      <c r="A127" s="13" t="s">
        <v>460</v>
      </c>
      <c r="B127" s="14" t="s">
        <v>461</v>
      </c>
      <c r="C127" s="16" t="s">
        <v>462</v>
      </c>
      <c r="D127" s="42" t="n">
        <v>0.8</v>
      </c>
      <c r="E127" s="42" t="n">
        <v>0.9</v>
      </c>
      <c r="F127" s="42" t="n">
        <v>0.9</v>
      </c>
      <c r="G127" s="42" t="n">
        <v>0.9</v>
      </c>
      <c r="H127" s="42" t="n">
        <v>0.9</v>
      </c>
      <c r="I127" s="42" t="n">
        <v>0.9</v>
      </c>
      <c r="J127" s="42" t="n">
        <v>0.9</v>
      </c>
      <c r="K127" s="42" t="n">
        <v>0.9</v>
      </c>
      <c r="L127" s="42" t="n">
        <v>0.9</v>
      </c>
      <c r="M127" s="42" t="n">
        <v>0.9</v>
      </c>
      <c r="N127" s="42" t="n">
        <v>0.9</v>
      </c>
      <c r="O127" s="42" t="n">
        <v>0.9</v>
      </c>
      <c r="P127" s="42" t="n">
        <v>0.9</v>
      </c>
      <c r="Q127" s="42" t="n">
        <v>0.9</v>
      </c>
      <c r="R127" s="42" t="n">
        <v>0.9</v>
      </c>
    </row>
    <row r="128" customFormat="false" ht="44" hidden="false" customHeight="false" outlineLevel="0" collapsed="false">
      <c r="A128" s="13" t="s">
        <v>463</v>
      </c>
      <c r="B128" s="13" t="s">
        <v>464</v>
      </c>
      <c r="C128" s="16" t="s">
        <v>465</v>
      </c>
      <c r="D128" s="32" t="n">
        <v>0.9</v>
      </c>
      <c r="E128" s="32" t="n">
        <v>0.9</v>
      </c>
      <c r="F128" s="32" t="n">
        <v>0.9</v>
      </c>
      <c r="G128" s="32" t="n">
        <v>0.9</v>
      </c>
      <c r="H128" s="32" t="n">
        <v>0.9</v>
      </c>
      <c r="I128" s="32" t="n">
        <v>0.9</v>
      </c>
      <c r="J128" s="32" t="n">
        <v>0.9</v>
      </c>
      <c r="K128" s="32" t="n">
        <v>0.9</v>
      </c>
      <c r="L128" s="32" t="n">
        <v>0.9</v>
      </c>
      <c r="M128" s="32" t="n">
        <v>0.9</v>
      </c>
      <c r="N128" s="32" t="n">
        <v>0.9</v>
      </c>
      <c r="O128" s="32" t="n">
        <v>0.9</v>
      </c>
      <c r="P128" s="32" t="n">
        <v>0.9</v>
      </c>
      <c r="Q128" s="32" t="n">
        <v>0.9</v>
      </c>
      <c r="R128" s="32" t="n">
        <v>0.9</v>
      </c>
    </row>
    <row r="129" customFormat="false" ht="29.85" hidden="false" customHeight="false" outlineLevel="0" collapsed="false">
      <c r="A129" s="13" t="s">
        <v>466</v>
      </c>
      <c r="B129" s="14" t="s">
        <v>467</v>
      </c>
      <c r="C129" s="16" t="s">
        <v>468</v>
      </c>
      <c r="D129" s="32" t="n">
        <v>0</v>
      </c>
      <c r="E129" s="32" t="n">
        <v>0</v>
      </c>
      <c r="F129" s="32" t="n">
        <v>0</v>
      </c>
      <c r="G129" s="32" t="n">
        <v>0.01</v>
      </c>
      <c r="H129" s="32" t="n">
        <v>0.01</v>
      </c>
      <c r="I129" s="32" t="n">
        <v>0.01</v>
      </c>
      <c r="J129" s="32" t="n">
        <v>0.02</v>
      </c>
      <c r="K129" s="32" t="n">
        <v>0.02</v>
      </c>
      <c r="L129" s="32" t="n">
        <v>0.02</v>
      </c>
      <c r="M129" s="32" t="n">
        <v>0.02</v>
      </c>
      <c r="N129" s="32" t="n">
        <v>0.02</v>
      </c>
      <c r="O129" s="32" t="n">
        <v>0.02</v>
      </c>
      <c r="P129" s="32" t="n">
        <v>0.02</v>
      </c>
      <c r="Q129" s="32" t="n">
        <v>0.02</v>
      </c>
      <c r="R129" s="32" t="n">
        <v>0.02</v>
      </c>
    </row>
    <row r="131" customFormat="false" ht="15" hidden="false" customHeight="false" outlineLevel="0" collapsed="false">
      <c r="A131" s="43" t="s">
        <v>469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6" min="3" style="0" width="13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30"/>
  </cols>
  <sheetData>
    <row r="1" customFormat="false" ht="21.6" hidden="false" customHeight="false" outlineLevel="0" collapsed="false">
      <c r="A1" s="6" t="s">
        <v>470</v>
      </c>
    </row>
    <row r="2" customFormat="false" ht="15" hidden="false" customHeight="false" outlineLevel="0" collapsed="false">
      <c r="A2" s="7" t="s">
        <v>471</v>
      </c>
    </row>
    <row r="4" customFormat="false" ht="15" hidden="false" customHeight="false" outlineLevel="0" collapsed="false">
      <c r="A4" s="8" t="s">
        <v>25</v>
      </c>
      <c r="B4" s="8" t="s">
        <v>472</v>
      </c>
      <c r="C4" s="8" t="s">
        <v>473</v>
      </c>
      <c r="D4" s="8" t="s">
        <v>474</v>
      </c>
      <c r="E4" s="8" t="s">
        <v>475</v>
      </c>
      <c r="F4" s="8" t="s">
        <v>476</v>
      </c>
      <c r="G4" s="8" t="s">
        <v>477</v>
      </c>
      <c r="H4" s="8" t="s">
        <v>478</v>
      </c>
      <c r="I4" s="8" t="s">
        <v>479</v>
      </c>
    </row>
    <row r="5" customFormat="false" ht="15" hidden="false" customHeight="false" outlineLevel="0" collapsed="false">
      <c r="A5" s="44" t="s">
        <v>480</v>
      </c>
      <c r="B5" s="10" t="s">
        <v>481</v>
      </c>
      <c r="C5" s="11" t="n">
        <f aca="false">C6+C7</f>
        <v>1891.8</v>
      </c>
      <c r="D5" s="11" t="n">
        <f aca="false">D6+D7</f>
        <v>920</v>
      </c>
      <c r="E5" s="11" t="n">
        <f aca="false">E6+E7</f>
        <v>107652</v>
      </c>
      <c r="F5" s="11"/>
      <c r="G5" s="11" t="n">
        <f aca="false">SUM(C5:F5)</f>
        <v>110463.8</v>
      </c>
      <c r="H5" s="45" t="n">
        <f aca="false">IFERROR(G5/$G$33,0)</f>
        <v>0.886978856026642</v>
      </c>
      <c r="I5" s="12"/>
    </row>
    <row r="6" customFormat="false" ht="29.85" hidden="false" customHeight="false" outlineLevel="0" collapsed="false">
      <c r="A6" s="13" t="s">
        <v>30</v>
      </c>
      <c r="B6" s="14" t="s">
        <v>482</v>
      </c>
      <c r="C6" s="46"/>
      <c r="D6" s="46"/>
      <c r="E6" s="20" t="n">
        <f aca="false">'1-2_设备及软件'!$F$23</f>
        <v>107652</v>
      </c>
      <c r="F6" s="46"/>
      <c r="G6" s="46" t="n">
        <f aca="false">SUM(C6:F6)</f>
        <v>107652</v>
      </c>
      <c r="H6" s="47" t="n">
        <f aca="false">IFERROR(G6/$G$33,0)</f>
        <v>0.864401259136297</v>
      </c>
      <c r="I6" s="16" t="s">
        <v>483</v>
      </c>
    </row>
    <row r="7" customFormat="false" ht="15" hidden="false" customHeight="false" outlineLevel="0" collapsed="false">
      <c r="A7" s="13" t="s">
        <v>56</v>
      </c>
      <c r="B7" s="14" t="s">
        <v>484</v>
      </c>
      <c r="C7" s="20" t="n">
        <f aca="false">'1-1_建安工程费'!$G$16</f>
        <v>1891.8</v>
      </c>
      <c r="D7" s="20" t="n">
        <f aca="false">'1-1_建安工程费'!$H$16</f>
        <v>920</v>
      </c>
      <c r="E7" s="46"/>
      <c r="F7" s="46"/>
      <c r="G7" s="46" t="n">
        <f aca="false">SUM(C7:F7)</f>
        <v>2811.8</v>
      </c>
      <c r="H7" s="47" t="n">
        <f aca="false">IFERROR(G7/$G$33,0)</f>
        <v>0.0225775968903452</v>
      </c>
      <c r="I7" s="16" t="s">
        <v>485</v>
      </c>
    </row>
    <row r="8" customFormat="false" ht="15" hidden="false" customHeight="false" outlineLevel="0" collapsed="false">
      <c r="A8" s="44" t="s">
        <v>486</v>
      </c>
      <c r="B8" s="10" t="s">
        <v>487</v>
      </c>
      <c r="C8" s="11"/>
      <c r="D8" s="11"/>
      <c r="E8" s="11"/>
      <c r="F8" s="11" t="n">
        <f aca="false">SUM(F9:F25)</f>
        <v>6123.82482</v>
      </c>
      <c r="G8" s="11" t="n">
        <f aca="false">SUM(C8:F8)</f>
        <v>6123.82482</v>
      </c>
      <c r="H8" s="45" t="n">
        <f aca="false">IFERROR(G8/$G$33,0)</f>
        <v>0.0491717932331783</v>
      </c>
      <c r="I8" s="12"/>
    </row>
    <row r="9" customFormat="false" ht="15" hidden="false" customHeight="false" outlineLevel="0" collapsed="false">
      <c r="A9" s="13" t="s">
        <v>58</v>
      </c>
      <c r="B9" s="14" t="s">
        <v>392</v>
      </c>
      <c r="C9" s="46"/>
      <c r="D9" s="46"/>
      <c r="E9" s="46"/>
      <c r="F9" s="20" t="n">
        <f aca="false">0_参数!$C$104</f>
        <v>330</v>
      </c>
      <c r="G9" s="46" t="n">
        <f aca="false">SUM(C9:F9)</f>
        <v>330</v>
      </c>
      <c r="H9" s="47" t="n">
        <f aca="false">IFERROR(G9/$G$33,0)</f>
        <v>0.00264976419866772</v>
      </c>
      <c r="I9" s="48" t="s">
        <v>488</v>
      </c>
    </row>
    <row r="10" customFormat="false" ht="15" hidden="false" customHeight="false" outlineLevel="0" collapsed="false">
      <c r="A10" s="13" t="s">
        <v>61</v>
      </c>
      <c r="B10" s="14" t="s">
        <v>489</v>
      </c>
      <c r="C10" s="46"/>
      <c r="D10" s="46"/>
      <c r="E10" s="46"/>
      <c r="F10" s="20" t="n">
        <f aca="false">$G$5*0_参数!$C$105</f>
        <v>1436.0294</v>
      </c>
      <c r="G10" s="46" t="n">
        <f aca="false">SUM(C10:F10)</f>
        <v>1436.0294</v>
      </c>
      <c r="H10" s="47" t="n">
        <f aca="false">IFERROR(G10/$G$33,0)</f>
        <v>0.0115307251283463</v>
      </c>
      <c r="I10" s="48" t="s">
        <v>488</v>
      </c>
    </row>
    <row r="11" customFormat="false" ht="15" hidden="false" customHeight="false" outlineLevel="0" collapsed="false">
      <c r="A11" s="13" t="s">
        <v>65</v>
      </c>
      <c r="B11" s="14" t="s">
        <v>490</v>
      </c>
      <c r="C11" s="46"/>
      <c r="D11" s="46"/>
      <c r="E11" s="46"/>
      <c r="F11" s="20" t="n">
        <f aca="false">($C$7+$D$7+$E$6*0.4)*0_参数!$C$106</f>
        <v>596.3438</v>
      </c>
      <c r="G11" s="46" t="n">
        <f aca="false">SUM(C11:F11)</f>
        <v>596.3438</v>
      </c>
      <c r="H11" s="47" t="n">
        <f aca="false">IFERROR(G11/$G$33,0)</f>
        <v>0.00478839530708323</v>
      </c>
      <c r="I11" s="48" t="s">
        <v>488</v>
      </c>
    </row>
    <row r="12" customFormat="false" ht="15" hidden="false" customHeight="false" outlineLevel="0" collapsed="false">
      <c r="A12" s="13" t="s">
        <v>68</v>
      </c>
      <c r="B12" s="14" t="s">
        <v>491</v>
      </c>
      <c r="C12" s="46"/>
      <c r="D12" s="46"/>
      <c r="E12" s="46"/>
      <c r="F12" s="20" t="n">
        <f aca="false">($C$7+$D$7)*0_参数!$C$107</f>
        <v>11.2472</v>
      </c>
      <c r="G12" s="46" t="n">
        <f aca="false">SUM(C12:F12)</f>
        <v>11.2472</v>
      </c>
      <c r="H12" s="47" t="n">
        <f aca="false">IFERROR(G12/$G$33,0)</f>
        <v>9.03103875613807E-005</v>
      </c>
      <c r="I12" s="48" t="s">
        <v>488</v>
      </c>
    </row>
    <row r="13" customFormat="false" ht="15" hidden="false" customHeight="false" outlineLevel="0" collapsed="false">
      <c r="A13" s="13" t="s">
        <v>71</v>
      </c>
      <c r="B13" s="14" t="s">
        <v>492</v>
      </c>
      <c r="C13" s="46"/>
      <c r="D13" s="46"/>
      <c r="E13" s="46"/>
      <c r="F13" s="20" t="n">
        <f aca="false">($C$7+$D$7+$E$6)*0_参数!$C$108</f>
        <v>1877.8846</v>
      </c>
      <c r="G13" s="46" t="n">
        <f aca="false">SUM(C13:F13)</f>
        <v>1877.8846</v>
      </c>
      <c r="H13" s="47" t="n">
        <f aca="false">IFERROR(G13/$G$33,0)</f>
        <v>0.0150786405524529</v>
      </c>
      <c r="I13" s="48" t="s">
        <v>488</v>
      </c>
    </row>
    <row r="14" customFormat="false" ht="15" hidden="false" customHeight="false" outlineLevel="0" collapsed="false">
      <c r="A14" s="13" t="s">
        <v>74</v>
      </c>
      <c r="B14" s="14" t="s">
        <v>493</v>
      </c>
      <c r="C14" s="46"/>
      <c r="D14" s="46"/>
      <c r="E14" s="46"/>
      <c r="F14" s="20" t="n">
        <f aca="false">0_参数!$C$109</f>
        <v>30</v>
      </c>
      <c r="G14" s="46" t="n">
        <f aca="false">SUM(C14:F14)</f>
        <v>30</v>
      </c>
      <c r="H14" s="47" t="n">
        <f aca="false">IFERROR(G14/$G$33,0)</f>
        <v>0.000240887654424339</v>
      </c>
      <c r="I14" s="48" t="s">
        <v>488</v>
      </c>
    </row>
    <row r="15" customFormat="false" ht="15" hidden="false" customHeight="false" outlineLevel="0" collapsed="false">
      <c r="A15" s="13" t="s">
        <v>494</v>
      </c>
      <c r="B15" s="14" t="s">
        <v>410</v>
      </c>
      <c r="C15" s="46"/>
      <c r="D15" s="46"/>
      <c r="E15" s="46"/>
      <c r="F15" s="20" t="n">
        <f aca="false">0_参数!$C$110</f>
        <v>50</v>
      </c>
      <c r="G15" s="46" t="n">
        <f aca="false">SUM(C15:F15)</f>
        <v>50</v>
      </c>
      <c r="H15" s="47" t="n">
        <f aca="false">IFERROR(G15/$G$33,0)</f>
        <v>0.000401479424040564</v>
      </c>
      <c r="I15" s="48" t="s">
        <v>488</v>
      </c>
    </row>
    <row r="16" customFormat="false" ht="15" hidden="false" customHeight="false" outlineLevel="0" collapsed="false">
      <c r="A16" s="13" t="s">
        <v>495</v>
      </c>
      <c r="B16" s="14" t="s">
        <v>413</v>
      </c>
      <c r="C16" s="46"/>
      <c r="D16" s="46"/>
      <c r="E16" s="46"/>
      <c r="F16" s="20" t="n">
        <f aca="false">0_参数!$C$111</f>
        <v>40</v>
      </c>
      <c r="G16" s="46" t="n">
        <f aca="false">SUM(C16:F16)</f>
        <v>40</v>
      </c>
      <c r="H16" s="47" t="n">
        <f aca="false">IFERROR(G16/$G$33,0)</f>
        <v>0.000321183539232451</v>
      </c>
      <c r="I16" s="48" t="s">
        <v>488</v>
      </c>
    </row>
    <row r="17" customFormat="false" ht="15" hidden="false" customHeight="false" outlineLevel="0" collapsed="false">
      <c r="A17" s="13" t="s">
        <v>496</v>
      </c>
      <c r="B17" s="14" t="s">
        <v>497</v>
      </c>
      <c r="C17" s="46"/>
      <c r="D17" s="46"/>
      <c r="E17" s="46"/>
      <c r="F17" s="20" t="n">
        <f aca="false">$G$5*0_参数!$C$112</f>
        <v>220.9276</v>
      </c>
      <c r="G17" s="46" t="n">
        <f aca="false">SUM(C17:F17)</f>
        <v>220.9276</v>
      </c>
      <c r="H17" s="47" t="n">
        <f aca="false">IFERROR(G17/$G$33,0)</f>
        <v>0.00177395771205328</v>
      </c>
      <c r="I17" s="48" t="s">
        <v>488</v>
      </c>
    </row>
    <row r="18" customFormat="false" ht="15" hidden="false" customHeight="false" outlineLevel="0" collapsed="false">
      <c r="A18" s="13" t="s">
        <v>498</v>
      </c>
      <c r="B18" s="14" t="s">
        <v>499</v>
      </c>
      <c r="C18" s="46"/>
      <c r="D18" s="46"/>
      <c r="E18" s="46"/>
      <c r="F18" s="20" t="n">
        <f aca="false">($C$7+$D$7)*0_参数!$C$113</f>
        <v>22.4944</v>
      </c>
      <c r="G18" s="46" t="n">
        <f aca="false">SUM(C18:F18)</f>
        <v>22.4944</v>
      </c>
      <c r="H18" s="47" t="n">
        <f aca="false">IFERROR(G18/$G$33,0)</f>
        <v>0.000180620775122761</v>
      </c>
      <c r="I18" s="48" t="s">
        <v>488</v>
      </c>
    </row>
    <row r="19" customFormat="false" ht="15" hidden="false" customHeight="false" outlineLevel="0" collapsed="false">
      <c r="A19" s="13" t="s">
        <v>500</v>
      </c>
      <c r="B19" s="14" t="s">
        <v>501</v>
      </c>
      <c r="C19" s="46"/>
      <c r="D19" s="46"/>
      <c r="E19" s="46"/>
      <c r="F19" s="20" t="n">
        <f aca="false">($C$7+$D$7)*0_参数!$C$114+$E$6*0_参数!$C$115</f>
        <v>379.03144</v>
      </c>
      <c r="G19" s="46" t="n">
        <f aca="false">SUM(C19:F19)</f>
        <v>379.03144</v>
      </c>
      <c r="H19" s="47" t="n">
        <f aca="false">IFERROR(G19/$G$33,0)</f>
        <v>0.00304346648448931</v>
      </c>
      <c r="I19" s="48" t="s">
        <v>488</v>
      </c>
    </row>
    <row r="20" customFormat="false" ht="15" hidden="false" customHeight="false" outlineLevel="0" collapsed="false">
      <c r="A20" s="13" t="s">
        <v>502</v>
      </c>
      <c r="B20" s="14" t="s">
        <v>503</v>
      </c>
      <c r="C20" s="46"/>
      <c r="D20" s="46"/>
      <c r="E20" s="46"/>
      <c r="F20" s="20" t="n">
        <f aca="false">$E$6*0_参数!$C$116</f>
        <v>1076.52</v>
      </c>
      <c r="G20" s="46" t="n">
        <f aca="false">SUM(C20:F20)</f>
        <v>1076.52</v>
      </c>
      <c r="H20" s="47" t="n">
        <f aca="false">IFERROR(G20/$G$33,0)</f>
        <v>0.00864401259136297</v>
      </c>
      <c r="I20" s="48" t="s">
        <v>488</v>
      </c>
    </row>
    <row r="21" customFormat="false" ht="15" hidden="false" customHeight="false" outlineLevel="0" collapsed="false">
      <c r="A21" s="13" t="s">
        <v>504</v>
      </c>
      <c r="B21" s="14" t="s">
        <v>505</v>
      </c>
      <c r="C21" s="46"/>
      <c r="D21" s="46"/>
      <c r="E21" s="46"/>
      <c r="F21" s="20" t="n">
        <f aca="false">$G$5*0_参数!$C$117</f>
        <v>11.04638</v>
      </c>
      <c r="G21" s="46" t="n">
        <f aca="false">SUM(C21:F21)</f>
        <v>11.04638</v>
      </c>
      <c r="H21" s="47" t="n">
        <f aca="false">IFERROR(G21/$G$33,0)</f>
        <v>8.86978856026642E-005</v>
      </c>
      <c r="I21" s="48" t="s">
        <v>488</v>
      </c>
    </row>
    <row r="22" customFormat="false" ht="15" hidden="false" customHeight="false" outlineLevel="0" collapsed="false">
      <c r="A22" s="13" t="s">
        <v>506</v>
      </c>
      <c r="B22" s="14" t="s">
        <v>429</v>
      </c>
      <c r="C22" s="46"/>
      <c r="D22" s="46"/>
      <c r="E22" s="46"/>
      <c r="F22" s="20" t="n">
        <f aca="false">0_参数!$C$118</f>
        <v>5.1</v>
      </c>
      <c r="G22" s="46" t="n">
        <f aca="false">SUM(C22:F22)</f>
        <v>5.1</v>
      </c>
      <c r="H22" s="47" t="n">
        <f aca="false">IFERROR(G22/$G$33,0)</f>
        <v>4.09509012521376E-005</v>
      </c>
      <c r="I22" s="48" t="s">
        <v>430</v>
      </c>
    </row>
    <row r="23" customFormat="false" ht="15" hidden="false" customHeight="false" outlineLevel="0" collapsed="false">
      <c r="A23" s="13" t="s">
        <v>507</v>
      </c>
      <c r="B23" s="14" t="s">
        <v>432</v>
      </c>
      <c r="C23" s="46"/>
      <c r="D23" s="46"/>
      <c r="E23" s="46"/>
      <c r="F23" s="20" t="n">
        <f aca="false">0_参数!$C$119</f>
        <v>7.2</v>
      </c>
      <c r="G23" s="46" t="n">
        <f aca="false">SUM(C23:F23)</f>
        <v>7.2</v>
      </c>
      <c r="H23" s="47" t="n">
        <f aca="false">IFERROR(G23/$G$33,0)</f>
        <v>5.78130370618413E-005</v>
      </c>
      <c r="I23" s="48" t="s">
        <v>430</v>
      </c>
    </row>
    <row r="24" customFormat="false" ht="15" hidden="false" customHeight="false" outlineLevel="0" collapsed="false">
      <c r="A24" s="13" t="s">
        <v>508</v>
      </c>
      <c r="B24" s="14" t="s">
        <v>434</v>
      </c>
      <c r="C24" s="46"/>
      <c r="D24" s="46"/>
      <c r="E24" s="46"/>
      <c r="F24" s="20" t="n">
        <f aca="false">0_参数!$C$120</f>
        <v>30</v>
      </c>
      <c r="G24" s="46" t="n">
        <f aca="false">SUM(C24:F24)</f>
        <v>30</v>
      </c>
      <c r="H24" s="47" t="n">
        <f aca="false">IFERROR(G24/$G$33,0)</f>
        <v>0.000240887654424339</v>
      </c>
      <c r="I24" s="48" t="s">
        <v>430</v>
      </c>
    </row>
    <row r="25" customFormat="false" ht="15" hidden="false" customHeight="false" outlineLevel="0" collapsed="false">
      <c r="A25" s="13" t="s">
        <v>509</v>
      </c>
      <c r="B25" s="14" t="s">
        <v>510</v>
      </c>
      <c r="C25" s="46"/>
      <c r="D25" s="46"/>
      <c r="E25" s="46"/>
      <c r="F25" s="40" t="n">
        <v>0</v>
      </c>
      <c r="G25" s="46" t="n">
        <f aca="false">SUM(C25:F25)</f>
        <v>0</v>
      </c>
      <c r="H25" s="47" t="n">
        <f aca="false">IFERROR(G25/$G$33,0)</f>
        <v>0</v>
      </c>
      <c r="I25" s="48" t="s">
        <v>488</v>
      </c>
    </row>
    <row r="26" customFormat="false" ht="15" hidden="false" customHeight="false" outlineLevel="0" collapsed="false">
      <c r="A26" s="44" t="s">
        <v>511</v>
      </c>
      <c r="B26" s="10" t="s">
        <v>512</v>
      </c>
      <c r="C26" s="11"/>
      <c r="D26" s="11"/>
      <c r="E26" s="11"/>
      <c r="F26" s="11" t="n">
        <f aca="false">F27+F28</f>
        <v>5829.381241</v>
      </c>
      <c r="G26" s="11" t="n">
        <f aca="false">SUM(C26:F26)</f>
        <v>5829.381241</v>
      </c>
      <c r="H26" s="45" t="n">
        <f aca="false">IFERROR(G26/$G$33,0)</f>
        <v>0.046807532462991</v>
      </c>
      <c r="I26" s="12"/>
    </row>
    <row r="27" customFormat="false" ht="15" hidden="false" customHeight="false" outlineLevel="0" collapsed="false">
      <c r="A27" s="13" t="s">
        <v>80</v>
      </c>
      <c r="B27" s="14" t="s">
        <v>513</v>
      </c>
      <c r="C27" s="46"/>
      <c r="D27" s="46"/>
      <c r="E27" s="46"/>
      <c r="F27" s="20" t="n">
        <f aca="false">(G5+G8)*0_参数!$C$121</f>
        <v>5829.381241</v>
      </c>
      <c r="G27" s="46" t="n">
        <f aca="false">SUM(C27:F27)</f>
        <v>5829.381241</v>
      </c>
      <c r="H27" s="47" t="n">
        <f aca="false">IFERROR(G27/$G$33,0)</f>
        <v>0.046807532462991</v>
      </c>
      <c r="I27" s="48" t="s">
        <v>488</v>
      </c>
    </row>
    <row r="28" customFormat="false" ht="15" hidden="false" customHeight="false" outlineLevel="0" collapsed="false">
      <c r="A28" s="13" t="s">
        <v>84</v>
      </c>
      <c r="B28" s="14" t="s">
        <v>514</v>
      </c>
      <c r="C28" s="46"/>
      <c r="D28" s="46"/>
      <c r="E28" s="46"/>
      <c r="F28" s="20" t="n">
        <f aca="false">(G5+G8)*0_参数!$C$122</f>
        <v>0</v>
      </c>
      <c r="G28" s="46" t="n">
        <f aca="false">SUM(C28:F28)</f>
        <v>0</v>
      </c>
      <c r="H28" s="47" t="n">
        <f aca="false">IFERROR(G28/$G$33,0)</f>
        <v>0</v>
      </c>
      <c r="I28" s="48" t="s">
        <v>488</v>
      </c>
    </row>
    <row r="29" customFormat="false" ht="15" hidden="false" customHeight="false" outlineLevel="0" collapsed="false">
      <c r="A29" s="49" t="s">
        <v>515</v>
      </c>
      <c r="B29" s="50" t="s">
        <v>516</v>
      </c>
      <c r="C29" s="51" t="n">
        <f aca="false">C5</f>
        <v>1891.8</v>
      </c>
      <c r="D29" s="51" t="n">
        <f aca="false">D5</f>
        <v>920</v>
      </c>
      <c r="E29" s="51" t="n">
        <f aca="false">E5</f>
        <v>107652</v>
      </c>
      <c r="F29" s="51" t="n">
        <f aca="false">F8+F26</f>
        <v>11953.206061</v>
      </c>
      <c r="G29" s="51" t="n">
        <f aca="false">SUM(C29:F29)</f>
        <v>122417.006061</v>
      </c>
      <c r="H29" s="52" t="n">
        <f aca="false">IFERROR(G29/$G$33,0)</f>
        <v>0.982958181722811</v>
      </c>
      <c r="I29" s="53"/>
    </row>
    <row r="30" customFormat="false" ht="15" hidden="false" customHeight="false" outlineLevel="0" collapsed="false">
      <c r="A30" s="14" t="s">
        <v>517</v>
      </c>
      <c r="B30" s="14" t="s">
        <v>104</v>
      </c>
      <c r="C30" s="46"/>
      <c r="D30" s="46"/>
      <c r="E30" s="46"/>
      <c r="F30" s="20" t="n">
        <f aca="false">11_还本付息!$V$9</f>
        <v>1536.255090915</v>
      </c>
      <c r="G30" s="46" t="n">
        <f aca="false">SUM(C30:F30)</f>
        <v>1536.255090915</v>
      </c>
      <c r="H30" s="47" t="n">
        <f aca="false">IFERROR(G30/$G$33,0)</f>
        <v>0.0123354961815988</v>
      </c>
      <c r="I30" s="16" t="s">
        <v>518</v>
      </c>
    </row>
    <row r="31" customFormat="false" ht="15" hidden="false" customHeight="false" outlineLevel="0" collapsed="false">
      <c r="A31" s="14" t="s">
        <v>519</v>
      </c>
      <c r="B31" s="54" t="s">
        <v>520</v>
      </c>
      <c r="C31" s="55" t="n">
        <f aca="false">C29</f>
        <v>1891.8</v>
      </c>
      <c r="D31" s="55" t="n">
        <f aca="false">D29</f>
        <v>920</v>
      </c>
      <c r="E31" s="55" t="n">
        <f aca="false">E29</f>
        <v>107652</v>
      </c>
      <c r="F31" s="55" t="n">
        <f aca="false">F29+F30</f>
        <v>13489.461151915</v>
      </c>
      <c r="G31" s="55" t="n">
        <f aca="false">SUM(C31:F31)</f>
        <v>123953.261151915</v>
      </c>
      <c r="H31" s="47" t="n">
        <f aca="false">IFERROR(G31/$G$33,0)</f>
        <v>0.99529367790441</v>
      </c>
      <c r="I31" s="16"/>
    </row>
    <row r="32" customFormat="false" ht="15" hidden="false" customHeight="false" outlineLevel="0" collapsed="false">
      <c r="A32" s="14" t="s">
        <v>521</v>
      </c>
      <c r="B32" s="14" t="s">
        <v>107</v>
      </c>
      <c r="C32" s="46"/>
      <c r="D32" s="46"/>
      <c r="E32" s="46"/>
      <c r="F32" s="20" t="n">
        <f aca="false">2_流动资金!$V$16</f>
        <v>586.122452830189</v>
      </c>
      <c r="G32" s="46" t="n">
        <f aca="false">SUM(C32:F32)</f>
        <v>586.122452830189</v>
      </c>
      <c r="H32" s="47" t="n">
        <f aca="false">IFERROR(G32/$G$33,0)</f>
        <v>0.00470632209559014</v>
      </c>
      <c r="I32" s="16" t="s">
        <v>522</v>
      </c>
    </row>
    <row r="33" customFormat="false" ht="15" hidden="false" customHeight="false" outlineLevel="0" collapsed="false">
      <c r="A33" s="49" t="s">
        <v>523</v>
      </c>
      <c r="B33" s="50" t="s">
        <v>524</v>
      </c>
      <c r="C33" s="51" t="n">
        <f aca="false">C31</f>
        <v>1891.8</v>
      </c>
      <c r="D33" s="51" t="n">
        <f aca="false">D31</f>
        <v>920</v>
      </c>
      <c r="E33" s="51" t="n">
        <f aca="false">E31</f>
        <v>107652</v>
      </c>
      <c r="F33" s="51" t="n">
        <f aca="false">F31+F32</f>
        <v>14075.5836047452</v>
      </c>
      <c r="G33" s="51" t="n">
        <f aca="false">SUM(C33:F33)</f>
        <v>124539.383604745</v>
      </c>
      <c r="H33" s="52" t="n">
        <f aca="false">IFERROR(G33/$G$33,0)</f>
        <v>1</v>
      </c>
      <c r="I33" s="53"/>
    </row>
    <row r="34" customFormat="false" ht="15" hidden="false" customHeight="false" outlineLevel="0" collapsed="false">
      <c r="A34" s="14"/>
      <c r="B34" s="14" t="s">
        <v>525</v>
      </c>
      <c r="C34" s="47" t="n">
        <f aca="false">IFERROR(C33/G33,0)</f>
        <v>0.0151903754879988</v>
      </c>
      <c r="D34" s="47" t="n">
        <f aca="false">IFERROR(D33/G33,0)</f>
        <v>0.00738722140234638</v>
      </c>
      <c r="E34" s="47" t="n">
        <f aca="false">IFERROR(E33/G33,0)</f>
        <v>0.864401259136297</v>
      </c>
      <c r="F34" s="47" t="n">
        <f aca="false">IFERROR(F33/G33,0)</f>
        <v>0.113021143973358</v>
      </c>
      <c r="G34" s="46"/>
      <c r="H34" s="47"/>
      <c r="I34" s="16"/>
    </row>
    <row r="36" customFormat="false" ht="19.4" hidden="false" customHeight="false" outlineLevel="0" collapsed="false">
      <c r="B36" s="56" t="s">
        <v>526</v>
      </c>
    </row>
    <row r="37" customFormat="false" ht="15" hidden="false" customHeight="false" outlineLevel="0" collapsed="false">
      <c r="B37" s="14" t="s">
        <v>527</v>
      </c>
      <c r="F37" s="20" t="n">
        <f aca="false">IF(0_参数!$C$77=1,$E$6/(1+0_参数!$C$81)*0_参数!$C$81,0)</f>
        <v>12384.7433628319</v>
      </c>
    </row>
    <row r="38" customFormat="false" ht="15" hidden="false" customHeight="false" outlineLevel="0" collapsed="false">
      <c r="B38" s="14" t="s">
        <v>528</v>
      </c>
      <c r="F38" s="20" t="n">
        <f aca="false">IF(0_参数!$C$77=1,($C$7+$D$7)/(1+0_参数!$C$80)*0_参数!$C$80,0)</f>
        <v>232.166972477064</v>
      </c>
    </row>
    <row r="39" customFormat="false" ht="15" hidden="false" customHeight="false" outlineLevel="0" collapsed="false">
      <c r="B39" s="14" t="s">
        <v>529</v>
      </c>
      <c r="F39" s="46" t="n">
        <f aca="false">F37+F38</f>
        <v>12616.9103353089</v>
      </c>
    </row>
    <row r="40" customFormat="false" ht="15" hidden="false" customHeight="false" outlineLevel="0" collapsed="false">
      <c r="B40" s="14" t="s">
        <v>530</v>
      </c>
      <c r="F40" s="46" t="n">
        <f aca="false">SUMIF(I9:I25,"固定资产",F9:F25)</f>
        <v>6081.52482</v>
      </c>
    </row>
    <row r="41" customFormat="false" ht="15" hidden="false" customHeight="false" outlineLevel="0" collapsed="false">
      <c r="B41" s="14" t="s">
        <v>531</v>
      </c>
      <c r="F41" s="46" t="n">
        <f aca="false">SUMIF(I9:I25,"递延资产",F9:F25)</f>
        <v>42.3</v>
      </c>
    </row>
    <row r="42" customFormat="false" ht="15" hidden="false" customHeight="false" outlineLevel="0" collapsed="false">
      <c r="B42" s="14" t="s">
        <v>532</v>
      </c>
      <c r="F42" s="20" t="n">
        <f aca="false">'1-2_设备及软件'!$F$12</f>
        <v>94250</v>
      </c>
    </row>
    <row r="43" customFormat="false" ht="15" hidden="false" customHeight="false" outlineLevel="0" collapsed="false">
      <c r="B43" s="14" t="s">
        <v>533</v>
      </c>
      <c r="F43" s="20" t="n">
        <f aca="false">'1-2_设备及软件'!$F$22</f>
        <v>13402</v>
      </c>
    </row>
    <row r="44" customFormat="false" ht="15" hidden="false" customHeight="false" outlineLevel="0" collapsed="false">
      <c r="B44" s="14" t="s">
        <v>534</v>
      </c>
      <c r="F44" s="46" t="n">
        <f aca="false">$C$7+$D$7</f>
        <v>2811.8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9" min="7" style="0" width="14"/>
    <col collapsed="false" customWidth="true" hidden="false" outlineLevel="0" max="10" min="10" style="0" width="36"/>
  </cols>
  <sheetData>
    <row r="1" customFormat="false" ht="21.6" hidden="false" customHeight="false" outlineLevel="0" collapsed="false">
      <c r="A1" s="6" t="s">
        <v>535</v>
      </c>
    </row>
    <row r="2" customFormat="false" ht="15" hidden="false" customHeight="false" outlineLevel="0" collapsed="false">
      <c r="A2" s="7" t="s">
        <v>536</v>
      </c>
    </row>
    <row r="4" customFormat="false" ht="15" hidden="false" customHeight="false" outlineLevel="0" collapsed="false">
      <c r="A4" s="8" t="s">
        <v>25</v>
      </c>
      <c r="B4" s="8" t="s">
        <v>537</v>
      </c>
      <c r="C4" s="8" t="s">
        <v>538</v>
      </c>
      <c r="D4" s="8" t="s">
        <v>27</v>
      </c>
      <c r="E4" s="8" t="s">
        <v>539</v>
      </c>
      <c r="F4" s="8" t="s">
        <v>540</v>
      </c>
      <c r="G4" s="8" t="s">
        <v>473</v>
      </c>
      <c r="H4" s="8" t="s">
        <v>474</v>
      </c>
      <c r="I4" s="8" t="s">
        <v>477</v>
      </c>
      <c r="J4" s="8" t="s">
        <v>541</v>
      </c>
    </row>
    <row r="5" customFormat="false" ht="15" hidden="false" customHeight="false" outlineLevel="0" collapsed="false">
      <c r="A5" s="13" t="s">
        <v>30</v>
      </c>
      <c r="B5" s="14" t="s">
        <v>542</v>
      </c>
      <c r="C5" s="17" t="n">
        <f aca="false">0_参数!$C$30</f>
        <v>1500</v>
      </c>
      <c r="D5" s="14" t="s">
        <v>54</v>
      </c>
      <c r="E5" s="57" t="n">
        <v>0.45</v>
      </c>
      <c r="F5" s="28" t="s">
        <v>543</v>
      </c>
      <c r="G5" s="46" t="n">
        <f aca="false">IF(F5="建筑",C5*E5,0)</f>
        <v>675</v>
      </c>
      <c r="H5" s="46" t="n">
        <f aca="false">IF(F5="安装",C5*E5,0)</f>
        <v>0</v>
      </c>
      <c r="I5" s="46" t="n">
        <f aca="false">G5+H5</f>
        <v>675</v>
      </c>
      <c r="J5" s="16" t="s">
        <v>544</v>
      </c>
    </row>
    <row r="6" customFormat="false" ht="15" hidden="false" customHeight="false" outlineLevel="0" collapsed="false">
      <c r="A6" s="13" t="s">
        <v>56</v>
      </c>
      <c r="B6" s="14" t="s">
        <v>545</v>
      </c>
      <c r="C6" s="17" t="n">
        <f aca="false">0_参数!$C$30</f>
        <v>1500</v>
      </c>
      <c r="D6" s="14" t="s">
        <v>54</v>
      </c>
      <c r="E6" s="57" t="n">
        <v>0.08</v>
      </c>
      <c r="F6" s="28" t="s">
        <v>546</v>
      </c>
      <c r="G6" s="46" t="n">
        <f aca="false">IF(F6="建筑",C6*E6,0)</f>
        <v>0</v>
      </c>
      <c r="H6" s="46" t="n">
        <f aca="false">IF(F6="安装",C6*E6,0)</f>
        <v>120</v>
      </c>
      <c r="I6" s="46" t="n">
        <f aca="false">G6+H6</f>
        <v>120</v>
      </c>
      <c r="J6" s="16" t="s">
        <v>547</v>
      </c>
    </row>
    <row r="7" customFormat="false" ht="15" hidden="false" customHeight="false" outlineLevel="0" collapsed="false">
      <c r="A7" s="13" t="s">
        <v>78</v>
      </c>
      <c r="B7" s="14" t="s">
        <v>548</v>
      </c>
      <c r="C7" s="33" t="n">
        <v>310</v>
      </c>
      <c r="D7" s="14" t="s">
        <v>54</v>
      </c>
      <c r="E7" s="57" t="n">
        <v>0.28</v>
      </c>
      <c r="F7" s="28" t="s">
        <v>543</v>
      </c>
      <c r="G7" s="46" t="n">
        <f aca="false">IF(F7="建筑",C7*E7,0)</f>
        <v>86.8</v>
      </c>
      <c r="H7" s="46" t="n">
        <f aca="false">IF(F7="安装",C7*E7,0)</f>
        <v>0</v>
      </c>
      <c r="I7" s="46" t="n">
        <f aca="false">G7+H7</f>
        <v>86.8</v>
      </c>
      <c r="J7" s="16" t="s">
        <v>549</v>
      </c>
    </row>
    <row r="8" customFormat="false" ht="15" hidden="false" customHeight="false" outlineLevel="0" collapsed="false">
      <c r="A8" s="13" t="s">
        <v>91</v>
      </c>
      <c r="B8" s="14" t="s">
        <v>550</v>
      </c>
      <c r="C8" s="17" t="n">
        <f aca="false">0_参数!$C$18</f>
        <v>4</v>
      </c>
      <c r="D8" s="14" t="s">
        <v>34</v>
      </c>
      <c r="E8" s="57" t="n">
        <v>80</v>
      </c>
      <c r="F8" s="28" t="s">
        <v>543</v>
      </c>
      <c r="G8" s="46" t="n">
        <f aca="false">IF(F8="建筑",C8*E8,0)</f>
        <v>320</v>
      </c>
      <c r="H8" s="46" t="n">
        <f aca="false">IF(F8="安装",C8*E8,0)</f>
        <v>0</v>
      </c>
      <c r="I8" s="46" t="n">
        <f aca="false">G8+H8</f>
        <v>320</v>
      </c>
      <c r="J8" s="16" t="s">
        <v>551</v>
      </c>
    </row>
    <row r="9" customFormat="false" ht="15" hidden="false" customHeight="false" outlineLevel="0" collapsed="false">
      <c r="A9" s="13" t="s">
        <v>118</v>
      </c>
      <c r="B9" s="14" t="s">
        <v>552</v>
      </c>
      <c r="C9" s="33" t="n">
        <v>6</v>
      </c>
      <c r="D9" s="14" t="s">
        <v>553</v>
      </c>
      <c r="E9" s="57" t="n">
        <v>25</v>
      </c>
      <c r="F9" s="28" t="s">
        <v>543</v>
      </c>
      <c r="G9" s="46" t="n">
        <f aca="false">IF(F9="建筑",C9*E9,0)</f>
        <v>150</v>
      </c>
      <c r="H9" s="46" t="n">
        <f aca="false">IF(F9="安装",C9*E9,0)</f>
        <v>0</v>
      </c>
      <c r="I9" s="46" t="n">
        <f aca="false">G9+H9</f>
        <v>150</v>
      </c>
      <c r="J9" s="16" t="s">
        <v>549</v>
      </c>
    </row>
    <row r="10" customFormat="false" ht="15" hidden="false" customHeight="false" outlineLevel="0" collapsed="false">
      <c r="A10" s="13" t="s">
        <v>161</v>
      </c>
      <c r="B10" s="14" t="s">
        <v>554</v>
      </c>
      <c r="C10" s="33" t="n">
        <v>8000</v>
      </c>
      <c r="D10" s="14" t="s">
        <v>54</v>
      </c>
      <c r="E10" s="57" t="n">
        <v>0.018</v>
      </c>
      <c r="F10" s="28" t="s">
        <v>543</v>
      </c>
      <c r="G10" s="46" t="n">
        <f aca="false">IF(F10="建筑",C10*E10,0)</f>
        <v>144</v>
      </c>
      <c r="H10" s="46" t="n">
        <f aca="false">IF(F10="安装",C10*E10,0)</f>
        <v>0</v>
      </c>
      <c r="I10" s="46" t="n">
        <f aca="false">G10+H10</f>
        <v>144</v>
      </c>
      <c r="J10" s="16" t="s">
        <v>555</v>
      </c>
    </row>
    <row r="11" customFormat="false" ht="15" hidden="false" customHeight="false" outlineLevel="0" collapsed="false">
      <c r="A11" s="13" t="s">
        <v>556</v>
      </c>
      <c r="B11" s="14" t="s">
        <v>557</v>
      </c>
      <c r="C11" s="33" t="n">
        <v>280</v>
      </c>
      <c r="D11" s="13" t="s">
        <v>558</v>
      </c>
      <c r="E11" s="57" t="n">
        <v>0.2</v>
      </c>
      <c r="F11" s="28" t="s">
        <v>543</v>
      </c>
      <c r="G11" s="46" t="n">
        <f aca="false">IF(F11="建筑",C11*E11,0)</f>
        <v>56</v>
      </c>
      <c r="H11" s="46" t="n">
        <f aca="false">IF(F11="安装",C11*E11,0)</f>
        <v>0</v>
      </c>
      <c r="I11" s="46" t="n">
        <f aca="false">G11+H11</f>
        <v>56</v>
      </c>
      <c r="J11" s="16" t="s">
        <v>559</v>
      </c>
    </row>
    <row r="12" customFormat="false" ht="15" hidden="false" customHeight="false" outlineLevel="0" collapsed="false">
      <c r="A12" s="13" t="s">
        <v>560</v>
      </c>
      <c r="B12" s="14" t="s">
        <v>561</v>
      </c>
      <c r="C12" s="33" t="n">
        <v>1</v>
      </c>
      <c r="D12" s="14" t="s">
        <v>562</v>
      </c>
      <c r="E12" s="57" t="n">
        <v>800</v>
      </c>
      <c r="F12" s="28" t="s">
        <v>546</v>
      </c>
      <c r="G12" s="46" t="n">
        <f aca="false">IF(F12="建筑",C12*E12,0)</f>
        <v>0</v>
      </c>
      <c r="H12" s="46" t="n">
        <f aca="false">IF(F12="安装",C12*E12,0)</f>
        <v>800</v>
      </c>
      <c r="I12" s="46" t="n">
        <f aca="false">G12+H12</f>
        <v>800</v>
      </c>
      <c r="J12" s="16" t="s">
        <v>563</v>
      </c>
    </row>
    <row r="13" customFormat="false" ht="15" hidden="false" customHeight="false" outlineLevel="0" collapsed="false">
      <c r="A13" s="13" t="s">
        <v>564</v>
      </c>
      <c r="B13" s="14" t="s">
        <v>565</v>
      </c>
      <c r="C13" s="33" t="n">
        <v>1</v>
      </c>
      <c r="D13" s="14" t="s">
        <v>562</v>
      </c>
      <c r="E13" s="57" t="n">
        <v>300</v>
      </c>
      <c r="F13" s="28" t="s">
        <v>543</v>
      </c>
      <c r="G13" s="46" t="n">
        <f aca="false">IF(F13="建筑",C13*E13,0)</f>
        <v>300</v>
      </c>
      <c r="H13" s="46" t="n">
        <f aca="false">IF(F13="安装",C13*E13,0)</f>
        <v>0</v>
      </c>
      <c r="I13" s="46" t="n">
        <f aca="false">G13+H13</f>
        <v>300</v>
      </c>
      <c r="J13" s="16" t="s">
        <v>566</v>
      </c>
    </row>
    <row r="14" customFormat="false" ht="15" hidden="false" customHeight="false" outlineLevel="0" collapsed="false">
      <c r="A14" s="13" t="s">
        <v>567</v>
      </c>
      <c r="B14" s="14" t="s">
        <v>568</v>
      </c>
      <c r="C14" s="33" t="n">
        <v>1</v>
      </c>
      <c r="D14" s="14" t="s">
        <v>562</v>
      </c>
      <c r="E14" s="57" t="n">
        <v>100</v>
      </c>
      <c r="F14" s="28" t="s">
        <v>543</v>
      </c>
      <c r="G14" s="46" t="n">
        <f aca="false">IF(F14="建筑",C14*E14,0)</f>
        <v>100</v>
      </c>
      <c r="H14" s="46" t="n">
        <f aca="false">IF(F14="安装",C14*E14,0)</f>
        <v>0</v>
      </c>
      <c r="I14" s="46" t="n">
        <f aca="false">G14+H14</f>
        <v>100</v>
      </c>
      <c r="J14" s="16" t="s">
        <v>569</v>
      </c>
    </row>
    <row r="15" customFormat="false" ht="15" hidden="false" customHeight="false" outlineLevel="0" collapsed="false">
      <c r="A15" s="13" t="s">
        <v>570</v>
      </c>
      <c r="B15" s="14" t="s">
        <v>571</v>
      </c>
      <c r="C15" s="33" t="n">
        <v>1</v>
      </c>
      <c r="D15" s="14" t="s">
        <v>562</v>
      </c>
      <c r="E15" s="57" t="n">
        <v>60</v>
      </c>
      <c r="F15" s="28" t="s">
        <v>543</v>
      </c>
      <c r="G15" s="46" t="n">
        <f aca="false">IF(F15="建筑",C15*E15,0)</f>
        <v>60</v>
      </c>
      <c r="H15" s="46" t="n">
        <f aca="false">IF(F15="安装",C15*E15,0)</f>
        <v>0</v>
      </c>
      <c r="I15" s="46" t="n">
        <f aca="false">G15+H15</f>
        <v>60</v>
      </c>
      <c r="J15" s="16" t="s">
        <v>549</v>
      </c>
    </row>
    <row r="16" customFormat="false" ht="15" hidden="false" customHeight="false" outlineLevel="0" collapsed="false">
      <c r="B16" s="50" t="s">
        <v>572</v>
      </c>
      <c r="G16" s="51" t="n">
        <f aca="false">SUM(G5:G15)</f>
        <v>1891.8</v>
      </c>
      <c r="H16" s="51" t="n">
        <f aca="false">SUM(H5:H15)</f>
        <v>920</v>
      </c>
      <c r="I16" s="51" t="n">
        <f aca="false">G16+H16</f>
        <v>2811.8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6" min="5" style="0" width="14"/>
    <col collapsed="false" customWidth="true" hidden="false" outlineLevel="0" max="7" min="7" style="0" width="16"/>
    <col collapsed="false" customWidth="true" hidden="false" outlineLevel="0" max="8" min="8" style="0" width="40"/>
  </cols>
  <sheetData>
    <row r="1" customFormat="false" ht="21.6" hidden="false" customHeight="false" outlineLevel="0" collapsed="false">
      <c r="A1" s="6" t="s">
        <v>573</v>
      </c>
    </row>
    <row r="2" customFormat="false" ht="15" hidden="false" customHeight="false" outlineLevel="0" collapsed="false">
      <c r="A2" s="7" t="s">
        <v>574</v>
      </c>
    </row>
    <row r="4" customFormat="false" ht="29.85" hidden="false" customHeight="false" outlineLevel="0" collapsed="false">
      <c r="A4" s="8" t="s">
        <v>25</v>
      </c>
      <c r="B4" s="8" t="s">
        <v>575</v>
      </c>
      <c r="C4" s="8" t="s">
        <v>27</v>
      </c>
      <c r="D4" s="8" t="s">
        <v>538</v>
      </c>
      <c r="E4" s="8" t="s">
        <v>576</v>
      </c>
      <c r="F4" s="8" t="s">
        <v>577</v>
      </c>
      <c r="G4" s="8" t="s">
        <v>578</v>
      </c>
      <c r="H4" s="8" t="s">
        <v>579</v>
      </c>
    </row>
    <row r="5" customFormat="false" ht="15" hidden="false" customHeight="false" outlineLevel="0" collapsed="false">
      <c r="A5" s="58" t="s">
        <v>580</v>
      </c>
      <c r="B5" s="10" t="s">
        <v>581</v>
      </c>
      <c r="C5" s="26"/>
      <c r="D5" s="26"/>
      <c r="E5" s="26"/>
      <c r="F5" s="26"/>
      <c r="G5" s="26"/>
      <c r="H5" s="26"/>
    </row>
    <row r="6" customFormat="false" ht="29.85" hidden="false" customHeight="false" outlineLevel="0" collapsed="false">
      <c r="A6" s="13" t="s">
        <v>174</v>
      </c>
      <c r="B6" s="13" t="s">
        <v>582</v>
      </c>
      <c r="C6" s="14" t="s">
        <v>46</v>
      </c>
      <c r="D6" s="15" t="n">
        <f aca="false">0_参数!$C$23</f>
        <v>168</v>
      </c>
      <c r="E6" s="39" t="n">
        <v>450</v>
      </c>
      <c r="F6" s="20" t="n">
        <f aca="false">D6*E6*0_参数!$C$50</f>
        <v>75600</v>
      </c>
      <c r="G6" s="14" t="s">
        <v>583</v>
      </c>
      <c r="H6" s="16" t="s">
        <v>584</v>
      </c>
    </row>
    <row r="7" customFormat="false" ht="15" hidden="false" customHeight="false" outlineLevel="0" collapsed="false">
      <c r="A7" s="13" t="s">
        <v>178</v>
      </c>
      <c r="B7" s="14" t="s">
        <v>585</v>
      </c>
      <c r="C7" s="14" t="s">
        <v>34</v>
      </c>
      <c r="D7" s="30" t="n">
        <v>1</v>
      </c>
      <c r="E7" s="39" t="n">
        <v>800</v>
      </c>
      <c r="F7" s="20" t="n">
        <f aca="false">D7*E7*0_参数!$C$50</f>
        <v>800</v>
      </c>
      <c r="G7" s="14" t="s">
        <v>583</v>
      </c>
      <c r="H7" s="16" t="s">
        <v>586</v>
      </c>
    </row>
    <row r="8" customFormat="false" ht="15" hidden="false" customHeight="false" outlineLevel="0" collapsed="false">
      <c r="A8" s="13" t="s">
        <v>182</v>
      </c>
      <c r="B8" s="14" t="s">
        <v>587</v>
      </c>
      <c r="C8" s="14" t="s">
        <v>34</v>
      </c>
      <c r="D8" s="30" t="n">
        <v>1</v>
      </c>
      <c r="E8" s="39" t="n">
        <v>500</v>
      </c>
      <c r="F8" s="20" t="n">
        <f aca="false">D8*E8*0_参数!$C$50</f>
        <v>500</v>
      </c>
      <c r="G8" s="14" t="s">
        <v>583</v>
      </c>
      <c r="H8" s="16" t="s">
        <v>586</v>
      </c>
    </row>
    <row r="9" customFormat="false" ht="15" hidden="false" customHeight="false" outlineLevel="0" collapsed="false">
      <c r="A9" s="13" t="s">
        <v>185</v>
      </c>
      <c r="B9" s="14" t="s">
        <v>588</v>
      </c>
      <c r="C9" s="14" t="s">
        <v>34</v>
      </c>
      <c r="D9" s="30" t="n">
        <v>1</v>
      </c>
      <c r="E9" s="39" t="n">
        <v>150</v>
      </c>
      <c r="F9" s="20" t="n">
        <f aca="false">D9*E9*0_参数!$C$50</f>
        <v>150</v>
      </c>
      <c r="G9" s="14" t="s">
        <v>583</v>
      </c>
      <c r="H9" s="16" t="s">
        <v>586</v>
      </c>
    </row>
    <row r="10" customFormat="false" ht="29.85" hidden="false" customHeight="false" outlineLevel="0" collapsed="false">
      <c r="A10" s="13" t="s">
        <v>187</v>
      </c>
      <c r="B10" s="14" t="s">
        <v>589</v>
      </c>
      <c r="C10" s="14" t="s">
        <v>34</v>
      </c>
      <c r="D10" s="30" t="n">
        <v>1</v>
      </c>
      <c r="E10" s="39" t="n">
        <v>12000</v>
      </c>
      <c r="F10" s="20" t="n">
        <f aca="false">D10*E10*0_参数!$C$50</f>
        <v>12000</v>
      </c>
      <c r="G10" s="14" t="s">
        <v>583</v>
      </c>
      <c r="H10" s="16" t="s">
        <v>590</v>
      </c>
    </row>
    <row r="11" customFormat="false" ht="15" hidden="false" customHeight="false" outlineLevel="0" collapsed="false">
      <c r="A11" s="13" t="s">
        <v>189</v>
      </c>
      <c r="B11" s="14" t="s">
        <v>591</v>
      </c>
      <c r="C11" s="14" t="s">
        <v>34</v>
      </c>
      <c r="D11" s="30" t="n">
        <v>1</v>
      </c>
      <c r="E11" s="39" t="n">
        <v>5200</v>
      </c>
      <c r="F11" s="20" t="n">
        <f aca="false">D11*E11*0_参数!$C$50</f>
        <v>5200</v>
      </c>
      <c r="G11" s="14" t="s">
        <v>583</v>
      </c>
      <c r="H11" s="16" t="s">
        <v>586</v>
      </c>
    </row>
    <row r="12" customFormat="false" ht="15" hidden="false" customHeight="false" outlineLevel="0" collapsed="false">
      <c r="B12" s="59" t="s">
        <v>592</v>
      </c>
      <c r="F12" s="55" t="n">
        <f aca="false">SUM(F6:F11)</f>
        <v>94250</v>
      </c>
    </row>
    <row r="14" customFormat="false" ht="15" hidden="false" customHeight="false" outlineLevel="0" collapsed="false">
      <c r="A14" s="58" t="s">
        <v>593</v>
      </c>
      <c r="B14" s="10" t="s">
        <v>594</v>
      </c>
      <c r="C14" s="26"/>
      <c r="D14" s="26"/>
      <c r="E14" s="26"/>
      <c r="F14" s="26"/>
      <c r="G14" s="26"/>
      <c r="H14" s="26"/>
    </row>
    <row r="15" customFormat="false" ht="15" hidden="false" customHeight="false" outlineLevel="0" collapsed="false">
      <c r="A15" s="13" t="s">
        <v>203</v>
      </c>
      <c r="B15" s="14" t="s">
        <v>595</v>
      </c>
      <c r="C15" s="14" t="s">
        <v>34</v>
      </c>
      <c r="D15" s="15" t="n">
        <f aca="false">0_参数!$C$18</f>
        <v>4</v>
      </c>
      <c r="E15" s="40" t="n">
        <v>1800</v>
      </c>
      <c r="F15" s="20" t="n">
        <f aca="false">D15*E15*0_参数!$C$51</f>
        <v>7200</v>
      </c>
      <c r="G15" s="14" t="s">
        <v>596</v>
      </c>
      <c r="H15" s="16" t="s">
        <v>597</v>
      </c>
    </row>
    <row r="16" customFormat="false" ht="15" hidden="false" customHeight="false" outlineLevel="0" collapsed="false">
      <c r="A16" s="13" t="s">
        <v>205</v>
      </c>
      <c r="B16" s="14" t="s">
        <v>598</v>
      </c>
      <c r="C16" s="14" t="s">
        <v>34</v>
      </c>
      <c r="D16" s="30" t="n">
        <v>2</v>
      </c>
      <c r="E16" s="40" t="n">
        <v>600</v>
      </c>
      <c r="F16" s="20" t="n">
        <f aca="false">D16*E16*0_参数!$C$51</f>
        <v>1200</v>
      </c>
      <c r="G16" s="14" t="s">
        <v>596</v>
      </c>
      <c r="H16" s="16" t="s">
        <v>549</v>
      </c>
    </row>
    <row r="17" customFormat="false" ht="15" hidden="false" customHeight="false" outlineLevel="0" collapsed="false">
      <c r="A17" s="13" t="s">
        <v>208</v>
      </c>
      <c r="B17" s="14" t="s">
        <v>599</v>
      </c>
      <c r="C17" s="14" t="s">
        <v>34</v>
      </c>
      <c r="D17" s="30" t="n">
        <v>4</v>
      </c>
      <c r="E17" s="40" t="n">
        <v>300</v>
      </c>
      <c r="F17" s="20" t="n">
        <f aca="false">D17*E17*0_参数!$C$51</f>
        <v>1200</v>
      </c>
      <c r="G17" s="14" t="s">
        <v>596</v>
      </c>
      <c r="H17" s="16" t="s">
        <v>549</v>
      </c>
    </row>
    <row r="18" customFormat="false" ht="15" hidden="false" customHeight="false" outlineLevel="0" collapsed="false">
      <c r="A18" s="13" t="s">
        <v>210</v>
      </c>
      <c r="B18" s="13" t="s">
        <v>600</v>
      </c>
      <c r="C18" s="14" t="s">
        <v>34</v>
      </c>
      <c r="D18" s="30" t="n">
        <v>12</v>
      </c>
      <c r="E18" s="40" t="n">
        <v>135</v>
      </c>
      <c r="F18" s="20" t="n">
        <f aca="false">D18*E18*0_参数!$C$51</f>
        <v>1620</v>
      </c>
      <c r="G18" s="14" t="s">
        <v>596</v>
      </c>
      <c r="H18" s="16" t="s">
        <v>601</v>
      </c>
    </row>
    <row r="19" customFormat="false" ht="15" hidden="false" customHeight="false" outlineLevel="0" collapsed="false">
      <c r="A19" s="13" t="s">
        <v>214</v>
      </c>
      <c r="B19" s="14" t="s">
        <v>602</v>
      </c>
      <c r="C19" s="14" t="s">
        <v>46</v>
      </c>
      <c r="D19" s="30" t="n">
        <v>3</v>
      </c>
      <c r="E19" s="40" t="n">
        <v>220</v>
      </c>
      <c r="F19" s="20" t="n">
        <f aca="false">D19*E19*0_参数!$C$51</f>
        <v>660</v>
      </c>
      <c r="G19" s="14" t="s">
        <v>596</v>
      </c>
      <c r="H19" s="16" t="s">
        <v>603</v>
      </c>
    </row>
    <row r="20" customFormat="false" ht="15" hidden="false" customHeight="false" outlineLevel="0" collapsed="false">
      <c r="A20" s="13" t="s">
        <v>217</v>
      </c>
      <c r="B20" s="13" t="s">
        <v>604</v>
      </c>
      <c r="C20" s="14" t="s">
        <v>34</v>
      </c>
      <c r="D20" s="30" t="n">
        <v>1</v>
      </c>
      <c r="E20" s="40" t="n">
        <v>1100</v>
      </c>
      <c r="F20" s="20" t="n">
        <f aca="false">D20*E20*0_参数!$C$51</f>
        <v>1100</v>
      </c>
      <c r="G20" s="14" t="s">
        <v>596</v>
      </c>
      <c r="H20" s="16" t="s">
        <v>549</v>
      </c>
    </row>
    <row r="21" customFormat="false" ht="15" hidden="false" customHeight="false" outlineLevel="0" collapsed="false">
      <c r="A21" s="13" t="s">
        <v>219</v>
      </c>
      <c r="B21" s="14" t="s">
        <v>605</v>
      </c>
      <c r="C21" s="14" t="s">
        <v>34</v>
      </c>
      <c r="D21" s="30" t="n">
        <v>1</v>
      </c>
      <c r="E21" s="40" t="n">
        <v>422</v>
      </c>
      <c r="F21" s="20" t="n">
        <f aca="false">D21*E21*0_参数!$C$51</f>
        <v>422</v>
      </c>
      <c r="G21" s="14" t="s">
        <v>596</v>
      </c>
      <c r="H21" s="16" t="s">
        <v>549</v>
      </c>
    </row>
    <row r="22" customFormat="false" ht="15" hidden="false" customHeight="false" outlineLevel="0" collapsed="false">
      <c r="B22" s="59" t="s">
        <v>606</v>
      </c>
      <c r="F22" s="55" t="n">
        <f aca="false">SUM(F15:F21)</f>
        <v>13402</v>
      </c>
    </row>
    <row r="23" customFormat="false" ht="15" hidden="false" customHeight="false" outlineLevel="0" collapsed="false">
      <c r="B23" s="50" t="s">
        <v>607</v>
      </c>
      <c r="F23" s="60" t="n">
        <f aca="false">'1-2_设备及软件'!$F$12+'1-2_设备及软件'!$F$22</f>
        <v>107652</v>
      </c>
    </row>
    <row r="25" customFormat="false" ht="15" hidden="false" customHeight="false" outlineLevel="0" collapsed="false">
      <c r="B25" s="43" t="s">
        <v>608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21" min="4" style="0" width="11"/>
    <col collapsed="false" customWidth="true" hidden="false" outlineLevel="0" max="22" min="22" style="0" width="13"/>
  </cols>
  <sheetData>
    <row r="1" customFormat="false" ht="21.6" hidden="false" customHeight="false" outlineLevel="0" collapsed="false">
      <c r="A1" s="6" t="s">
        <v>609</v>
      </c>
    </row>
    <row r="2" customFormat="false" ht="15" hidden="false" customHeight="false" outlineLevel="0" collapsed="false">
      <c r="A2" s="7" t="s">
        <v>610</v>
      </c>
    </row>
    <row r="3" customFormat="false" ht="15" hidden="false" customHeight="false" outlineLevel="0" collapsed="false">
      <c r="A3" s="27" t="s">
        <v>25</v>
      </c>
      <c r="B3" s="27" t="s">
        <v>611</v>
      </c>
      <c r="C3" s="27" t="s">
        <v>612</v>
      </c>
      <c r="D3" s="61" t="n">
        <v>1</v>
      </c>
      <c r="E3" s="61" t="n">
        <f aca="false">D3+1</f>
        <v>2</v>
      </c>
      <c r="F3" s="61" t="n">
        <f aca="false">E3+1</f>
        <v>3</v>
      </c>
      <c r="G3" s="61" t="n">
        <f aca="false">F3+1</f>
        <v>4</v>
      </c>
      <c r="H3" s="61" t="n">
        <f aca="false">G3+1</f>
        <v>5</v>
      </c>
      <c r="I3" s="61" t="n">
        <f aca="false">H3+1</f>
        <v>6</v>
      </c>
      <c r="J3" s="61" t="n">
        <f aca="false">I3+1</f>
        <v>7</v>
      </c>
      <c r="K3" s="61" t="n">
        <f aca="false">J3+1</f>
        <v>8</v>
      </c>
      <c r="L3" s="61" t="n">
        <f aca="false">K3+1</f>
        <v>9</v>
      </c>
      <c r="M3" s="61" t="n">
        <f aca="false">L3+1</f>
        <v>10</v>
      </c>
      <c r="N3" s="61" t="n">
        <f aca="false">M3+1</f>
        <v>11</v>
      </c>
      <c r="O3" s="61" t="n">
        <f aca="false">N3+1</f>
        <v>12</v>
      </c>
      <c r="P3" s="61" t="n">
        <f aca="false">O3+1</f>
        <v>13</v>
      </c>
      <c r="Q3" s="61" t="n">
        <f aca="false">P3+1</f>
        <v>14</v>
      </c>
      <c r="R3" s="61" t="n">
        <f aca="false">Q3+1</f>
        <v>15</v>
      </c>
      <c r="S3" s="61" t="n">
        <f aca="false">R3+1</f>
        <v>16</v>
      </c>
      <c r="T3" s="61" t="n">
        <f aca="false">S3+1</f>
        <v>17</v>
      </c>
      <c r="U3" s="61" t="n">
        <f aca="false">T3+1</f>
        <v>18</v>
      </c>
      <c r="V3" s="8" t="s">
        <v>613</v>
      </c>
    </row>
    <row r="4" customFormat="false" ht="15" hidden="false" customHeight="false" outlineLevel="0" collapsed="false">
      <c r="A4" s="62"/>
      <c r="B4" s="27" t="s">
        <v>614</v>
      </c>
      <c r="C4" s="62"/>
      <c r="D4" s="63" t="str">
        <f aca="false">IF(D$3&lt;=0_参数!$C$9,"建设",IF(D$3&lt;=0_参数!$C$9+0_参数!$C$10,"运营",""))</f>
        <v>建设</v>
      </c>
      <c r="E4" s="63" t="str">
        <f aca="false">IF(E$3&lt;=0_参数!$C$9,"建设",IF(E$3&lt;=0_参数!$C$9+0_参数!$C$10,"运营",""))</f>
        <v>运营</v>
      </c>
      <c r="F4" s="63" t="str">
        <f aca="false">IF(F$3&lt;=0_参数!$C$9,"建设",IF(F$3&lt;=0_参数!$C$9+0_参数!$C$10,"运营",""))</f>
        <v>运营</v>
      </c>
      <c r="G4" s="63" t="str">
        <f aca="false">IF(G$3&lt;=0_参数!$C$9,"建设",IF(G$3&lt;=0_参数!$C$9+0_参数!$C$10,"运营",""))</f>
        <v>运营</v>
      </c>
      <c r="H4" s="63" t="str">
        <f aca="false">IF(H$3&lt;=0_参数!$C$9,"建设",IF(H$3&lt;=0_参数!$C$9+0_参数!$C$10,"运营",""))</f>
        <v>运营</v>
      </c>
      <c r="I4" s="63" t="str">
        <f aca="false">IF(I$3&lt;=0_参数!$C$9,"建设",IF(I$3&lt;=0_参数!$C$9+0_参数!$C$10,"运营",""))</f>
        <v>运营</v>
      </c>
      <c r="J4" s="63" t="str">
        <f aca="false">IF(J$3&lt;=0_参数!$C$9,"建设",IF(J$3&lt;=0_参数!$C$9+0_参数!$C$10,"运营",""))</f>
        <v>运营</v>
      </c>
      <c r="K4" s="63" t="str">
        <f aca="false">IF(K$3&lt;=0_参数!$C$9,"建设",IF(K$3&lt;=0_参数!$C$9+0_参数!$C$10,"运营",""))</f>
        <v>运营</v>
      </c>
      <c r="L4" s="63" t="str">
        <f aca="false">IF(L$3&lt;=0_参数!$C$9,"建设",IF(L$3&lt;=0_参数!$C$9+0_参数!$C$10,"运营",""))</f>
        <v>运营</v>
      </c>
      <c r="M4" s="63" t="str">
        <f aca="false">IF(M$3&lt;=0_参数!$C$9,"建设",IF(M$3&lt;=0_参数!$C$9+0_参数!$C$10,"运营",""))</f>
        <v>运营</v>
      </c>
      <c r="N4" s="63" t="str">
        <f aca="false">IF(N$3&lt;=0_参数!$C$9,"建设",IF(N$3&lt;=0_参数!$C$9+0_参数!$C$10,"运营",""))</f>
        <v>运营</v>
      </c>
      <c r="O4" s="63" t="str">
        <f aca="false">IF(O$3&lt;=0_参数!$C$9,"建设",IF(O$3&lt;=0_参数!$C$9+0_参数!$C$10,"运营",""))</f>
        <v/>
      </c>
      <c r="P4" s="63" t="str">
        <f aca="false">IF(P$3&lt;=0_参数!$C$9,"建设",IF(P$3&lt;=0_参数!$C$9+0_参数!$C$10,"运营",""))</f>
        <v/>
      </c>
      <c r="Q4" s="63" t="str">
        <f aca="false">IF(Q$3&lt;=0_参数!$C$9,"建设",IF(Q$3&lt;=0_参数!$C$9+0_参数!$C$10,"运营",""))</f>
        <v/>
      </c>
      <c r="R4" s="63" t="str">
        <f aca="false">IF(R$3&lt;=0_参数!$C$9,"建设",IF(R$3&lt;=0_参数!$C$9+0_参数!$C$10,"运营",""))</f>
        <v/>
      </c>
      <c r="S4" s="63" t="str">
        <f aca="false">IF(S$3&lt;=0_参数!$C$9,"建设",IF(S$3&lt;=0_参数!$C$9+0_参数!$C$10,"运营",""))</f>
        <v/>
      </c>
      <c r="T4" s="63" t="str">
        <f aca="false">IF(T$3&lt;=0_参数!$C$9,"建设",IF(T$3&lt;=0_参数!$C$9+0_参数!$C$10,"运营",""))</f>
        <v/>
      </c>
      <c r="U4" s="63" t="str">
        <f aca="false">IF(U$3&lt;=0_参数!$C$9,"建设",IF(U$3&lt;=0_参数!$C$9+0_参数!$C$10,"运营",""))</f>
        <v/>
      </c>
      <c r="V4" s="62"/>
    </row>
    <row r="5" customFormat="false" ht="15" hidden="false" customHeight="false" outlineLevel="0" collapsed="false">
      <c r="A5" s="62"/>
      <c r="B5" s="27" t="s">
        <v>615</v>
      </c>
      <c r="C5" s="62"/>
      <c r="D5" s="64" t="n">
        <f aca="false">IF(D$4="运营",D$3-0_参数!$C$9,0)</f>
        <v>0</v>
      </c>
      <c r="E5" s="64" t="n">
        <f aca="false">IF(E$4="运营",E$3-0_参数!$C$9,0)</f>
        <v>1</v>
      </c>
      <c r="F5" s="64" t="n">
        <f aca="false">IF(F$4="运营",F$3-0_参数!$C$9,0)</f>
        <v>2</v>
      </c>
      <c r="G5" s="64" t="n">
        <f aca="false">IF(G$4="运营",G$3-0_参数!$C$9,0)</f>
        <v>3</v>
      </c>
      <c r="H5" s="64" t="n">
        <f aca="false">IF(H$4="运营",H$3-0_参数!$C$9,0)</f>
        <v>4</v>
      </c>
      <c r="I5" s="64" t="n">
        <f aca="false">IF(I$4="运营",I$3-0_参数!$C$9,0)</f>
        <v>5</v>
      </c>
      <c r="J5" s="64" t="n">
        <f aca="false">IF(J$4="运营",J$3-0_参数!$C$9,0)</f>
        <v>6</v>
      </c>
      <c r="K5" s="64" t="n">
        <f aca="false">IF(K$4="运营",K$3-0_参数!$C$9,0)</f>
        <v>7</v>
      </c>
      <c r="L5" s="64" t="n">
        <f aca="false">IF(L$4="运营",L$3-0_参数!$C$9,0)</f>
        <v>8</v>
      </c>
      <c r="M5" s="64" t="n">
        <f aca="false">IF(M$4="运营",M$3-0_参数!$C$9,0)</f>
        <v>9</v>
      </c>
      <c r="N5" s="64" t="n">
        <f aca="false">IF(N$4="运营",N$3-0_参数!$C$9,0)</f>
        <v>10</v>
      </c>
      <c r="O5" s="64" t="n">
        <f aca="false">IF(O$4="运营",O$3-0_参数!$C$9,0)</f>
        <v>0</v>
      </c>
      <c r="P5" s="64" t="n">
        <f aca="false">IF(P$4="运营",P$3-0_参数!$C$9,0)</f>
        <v>0</v>
      </c>
      <c r="Q5" s="64" t="n">
        <f aca="false">IF(Q$4="运营",Q$3-0_参数!$C$9,0)</f>
        <v>0</v>
      </c>
      <c r="R5" s="64" t="n">
        <f aca="false">IF(R$4="运营",R$3-0_参数!$C$9,0)</f>
        <v>0</v>
      </c>
      <c r="S5" s="64" t="n">
        <f aca="false">IF(S$4="运营",S$3-0_参数!$C$9,0)</f>
        <v>0</v>
      </c>
      <c r="T5" s="64" t="n">
        <f aca="false">IF(T$4="运营",T$3-0_参数!$C$9,0)</f>
        <v>0</v>
      </c>
      <c r="U5" s="64" t="n">
        <f aca="false">IF(U$4="运营",U$3-0_参数!$C$9,0)</f>
        <v>0</v>
      </c>
      <c r="V5" s="62"/>
    </row>
    <row r="6" customFormat="false" ht="15" hidden="false" customHeight="false" outlineLevel="0" collapsed="false">
      <c r="A6" s="62"/>
      <c r="B6" s="27" t="s">
        <v>616</v>
      </c>
      <c r="C6" s="62"/>
      <c r="D6" s="65" t="n">
        <f aca="false">IF(D$4="建设",D$3,0)</f>
        <v>1</v>
      </c>
      <c r="E6" s="65" t="n">
        <f aca="false">IF(E$4="建设",E$3,0)</f>
        <v>0</v>
      </c>
      <c r="F6" s="65" t="n">
        <f aca="false">IF(F$4="建设",F$3,0)</f>
        <v>0</v>
      </c>
      <c r="G6" s="65" t="n">
        <f aca="false">IF(G$4="建设",G$3,0)</f>
        <v>0</v>
      </c>
      <c r="H6" s="65" t="n">
        <f aca="false">IF(H$4="建设",H$3,0)</f>
        <v>0</v>
      </c>
      <c r="I6" s="65" t="n">
        <f aca="false">IF(I$4="建设",I$3,0)</f>
        <v>0</v>
      </c>
      <c r="J6" s="65" t="n">
        <f aca="false">IF(J$4="建设",J$3,0)</f>
        <v>0</v>
      </c>
      <c r="K6" s="65" t="n">
        <f aca="false">IF(K$4="建设",K$3,0)</f>
        <v>0</v>
      </c>
      <c r="L6" s="65" t="n">
        <f aca="false">IF(L$4="建设",L$3,0)</f>
        <v>0</v>
      </c>
      <c r="M6" s="65" t="n">
        <f aca="false">IF(M$4="建设",M$3,0)</f>
        <v>0</v>
      </c>
      <c r="N6" s="65" t="n">
        <f aca="false">IF(N$4="建设",N$3,0)</f>
        <v>0</v>
      </c>
      <c r="O6" s="65" t="n">
        <f aca="false">IF(O$4="建设",O$3,0)</f>
        <v>0</v>
      </c>
      <c r="P6" s="65" t="n">
        <f aca="false">IF(P$4="建设",P$3,0)</f>
        <v>0</v>
      </c>
      <c r="Q6" s="65" t="n">
        <f aca="false">IF(Q$4="建设",Q$3,0)</f>
        <v>0</v>
      </c>
      <c r="R6" s="65" t="n">
        <f aca="false">IF(R$4="建设",R$3,0)</f>
        <v>0</v>
      </c>
      <c r="S6" s="65" t="n">
        <f aca="false">IF(S$4="建设",S$3,0)</f>
        <v>0</v>
      </c>
      <c r="T6" s="65" t="n">
        <f aca="false">IF(T$4="建设",T$3,0)</f>
        <v>0</v>
      </c>
      <c r="U6" s="65" t="n">
        <f aca="false">IF(U$4="建设",U$3,0)</f>
        <v>0</v>
      </c>
      <c r="V6" s="62"/>
    </row>
    <row r="7" customFormat="false" ht="15" hidden="false" customHeight="false" outlineLevel="0" collapsed="false">
      <c r="A7" s="13" t="s">
        <v>32</v>
      </c>
      <c r="B7" s="14" t="s">
        <v>617</v>
      </c>
      <c r="C7" s="14" t="s">
        <v>95</v>
      </c>
      <c r="D7" s="20" t="n">
        <f aca="false">IF(D$4="运营",6_收入税金!D$11/(0_参数!$C$101/0_参数!$C$97),0)</f>
        <v>0</v>
      </c>
      <c r="E7" s="20" t="n">
        <f aca="false">IF(E$4="运营",6_收入税金!E$11/(0_参数!$C$101/0_参数!$C$97),0)</f>
        <v>1775.09433962264</v>
      </c>
      <c r="F7" s="20" t="n">
        <f aca="false">IF(F$4="运营",6_收入税金!F$11/(0_参数!$C$101/0_参数!$C$97),0)</f>
        <v>1996.98113207547</v>
      </c>
      <c r="G7" s="20" t="n">
        <f aca="false">IF(G$4="运营",6_收入税金!G$11/(0_参数!$C$101/0_参数!$C$97),0)</f>
        <v>1996.98113207547</v>
      </c>
      <c r="H7" s="20" t="n">
        <f aca="false">IF(H$4="运营",6_收入税金!H$11/(0_参数!$C$101/0_参数!$C$97),0)</f>
        <v>1996.98113207547</v>
      </c>
      <c r="I7" s="20" t="n">
        <f aca="false">IF(I$4="运营",6_收入税金!I$11/(0_参数!$C$101/0_参数!$C$97),0)</f>
        <v>1996.98113207547</v>
      </c>
      <c r="J7" s="20" t="n">
        <f aca="false">IF(J$4="运营",6_收入税金!J$11/(0_参数!$C$101/0_参数!$C$97),0)</f>
        <v>1996.98113207547</v>
      </c>
      <c r="K7" s="20" t="n">
        <f aca="false">IF(K$4="运营",6_收入税金!K$11/(0_参数!$C$101/0_参数!$C$97),0)</f>
        <v>1996.98113207547</v>
      </c>
      <c r="L7" s="20" t="n">
        <f aca="false">IF(L$4="运营",6_收入税金!L$11/(0_参数!$C$101/0_参数!$C$97),0)</f>
        <v>1996.98113207547</v>
      </c>
      <c r="M7" s="20" t="n">
        <f aca="false">IF(M$4="运营",6_收入税金!M$11/(0_参数!$C$101/0_参数!$C$97),0)</f>
        <v>1996.98113207547</v>
      </c>
      <c r="N7" s="20" t="n">
        <f aca="false">IF(N$4="运营",6_收入税金!N$11/(0_参数!$C$101/0_参数!$C$97),0)</f>
        <v>1996.98113207547</v>
      </c>
      <c r="O7" s="20" t="n">
        <f aca="false">IF(O$4="运营",6_收入税金!O$11/(0_参数!$C$101/0_参数!$C$97),0)</f>
        <v>0</v>
      </c>
      <c r="P7" s="20" t="n">
        <f aca="false">IF(P$4="运营",6_收入税金!P$11/(0_参数!$C$101/0_参数!$C$97),0)</f>
        <v>0</v>
      </c>
      <c r="Q7" s="20" t="n">
        <f aca="false">IF(Q$4="运营",6_收入税金!Q$11/(0_参数!$C$101/0_参数!$C$97),0)</f>
        <v>0</v>
      </c>
      <c r="R7" s="20" t="n">
        <f aca="false">IF(R$4="运营",6_收入税金!R$11/(0_参数!$C$101/0_参数!$C$97),0)</f>
        <v>0</v>
      </c>
      <c r="S7" s="20" t="n">
        <f aca="false">IF(S$4="运营",6_收入税金!S$11/(0_参数!$C$101/0_参数!$C$97),0)</f>
        <v>0</v>
      </c>
      <c r="T7" s="20" t="n">
        <f aca="false">IF(T$4="运营",6_收入税金!T$11/(0_参数!$C$101/0_参数!$C$97),0)</f>
        <v>0</v>
      </c>
      <c r="U7" s="20" t="n">
        <f aca="false">IF(U$4="运营",6_收入税金!U$11/(0_参数!$C$101/0_参数!$C$97),0)</f>
        <v>0</v>
      </c>
      <c r="V7" s="14"/>
    </row>
    <row r="8" customFormat="false" ht="15" hidden="false" customHeight="false" outlineLevel="0" collapsed="false">
      <c r="A8" s="13" t="s">
        <v>36</v>
      </c>
      <c r="B8" s="14" t="s">
        <v>618</v>
      </c>
      <c r="C8" s="14" t="s">
        <v>95</v>
      </c>
      <c r="D8" s="20" t="n">
        <f aca="false">IF(D$4="运营",4_总成本费用!D$16/(0_参数!$C$101/0_参数!$C$98),0)</f>
        <v>0</v>
      </c>
      <c r="E8" s="20" t="n">
        <f aca="false">IF(E$4="运营",4_总成本费用!E$16/(0_参数!$C$101/0_参数!$C$98),0)</f>
        <v>53.4987050164813</v>
      </c>
      <c r="F8" s="20" t="n">
        <f aca="false">IF(F$4="运营",4_总成本费用!F$16/(0_参数!$C$101/0_参数!$C$98),0)</f>
        <v>60.0191218660388</v>
      </c>
      <c r="G8" s="20" t="n">
        <f aca="false">IF(G$4="运营",4_总成本费用!G$16/(0_参数!$C$101/0_参数!$C$98),0)</f>
        <v>60.0191218660388</v>
      </c>
      <c r="H8" s="20" t="n">
        <f aca="false">IF(H$4="运营",4_总成本费用!H$16/(0_参数!$C$101/0_参数!$C$98),0)</f>
        <v>60.0191218660388</v>
      </c>
      <c r="I8" s="20" t="n">
        <f aca="false">IF(I$4="运营",4_总成本费用!I$16/(0_参数!$C$101/0_参数!$C$98),0)</f>
        <v>60.0191218660388</v>
      </c>
      <c r="J8" s="20" t="n">
        <f aca="false">IF(J$4="运营",4_总成本费用!J$16/(0_参数!$C$101/0_参数!$C$98),0)</f>
        <v>60.0191218660388</v>
      </c>
      <c r="K8" s="20" t="n">
        <f aca="false">IF(K$4="运营",4_总成本费用!K$16/(0_参数!$C$101/0_参数!$C$98),0)</f>
        <v>60.0191218660388</v>
      </c>
      <c r="L8" s="20" t="n">
        <f aca="false">IF(L$4="运营",4_总成本费用!L$16/(0_参数!$C$101/0_参数!$C$98),0)</f>
        <v>60.0191218660388</v>
      </c>
      <c r="M8" s="20" t="n">
        <f aca="false">IF(M$4="运营",4_总成本费用!M$16/(0_参数!$C$101/0_参数!$C$98),0)</f>
        <v>60.0191218660388</v>
      </c>
      <c r="N8" s="20" t="n">
        <f aca="false">IF(N$4="运营",4_总成本费用!N$16/(0_参数!$C$101/0_参数!$C$98),0)</f>
        <v>60.0191218660388</v>
      </c>
      <c r="O8" s="20" t="n">
        <f aca="false">IF(O$4="运营",4_总成本费用!O$16/(0_参数!$C$101/0_参数!$C$98),0)</f>
        <v>0</v>
      </c>
      <c r="P8" s="20" t="n">
        <f aca="false">IF(P$4="运营",4_总成本费用!P$16/(0_参数!$C$101/0_参数!$C$98),0)</f>
        <v>0</v>
      </c>
      <c r="Q8" s="20" t="n">
        <f aca="false">IF(Q$4="运营",4_总成本费用!Q$16/(0_参数!$C$101/0_参数!$C$98),0)</f>
        <v>0</v>
      </c>
      <c r="R8" s="20" t="n">
        <f aca="false">IF(R$4="运营",4_总成本费用!R$16/(0_参数!$C$101/0_参数!$C$98),0)</f>
        <v>0</v>
      </c>
      <c r="S8" s="20" t="n">
        <f aca="false">IF(S$4="运营",4_总成本费用!S$16/(0_参数!$C$101/0_参数!$C$98),0)</f>
        <v>0</v>
      </c>
      <c r="T8" s="20" t="n">
        <f aca="false">IF(T$4="运营",4_总成本费用!T$16/(0_参数!$C$101/0_参数!$C$98),0)</f>
        <v>0</v>
      </c>
      <c r="U8" s="20" t="n">
        <f aca="false">IF(U$4="运营",4_总成本费用!U$16/(0_参数!$C$101/0_参数!$C$98),0)</f>
        <v>0</v>
      </c>
      <c r="V8" s="14"/>
    </row>
    <row r="9" customFormat="false" ht="15" hidden="false" customHeight="false" outlineLevel="0" collapsed="false">
      <c r="A9" s="13" t="s">
        <v>40</v>
      </c>
      <c r="B9" s="14" t="s">
        <v>619</v>
      </c>
      <c r="C9" s="14" t="s">
        <v>95</v>
      </c>
      <c r="D9" s="20" t="n">
        <f aca="false">IF(D$4="运营",(4_总成本费用!D$17+4_总成本费用!D$22)/(0_参数!$C$101/0_参数!$C$99),0)</f>
        <v>0</v>
      </c>
      <c r="E9" s="20" t="n">
        <f aca="false">IF(E$4="运营",(4_总成本费用!E$17+4_总成本费用!E$22)/(0_参数!$C$101/0_参数!$C$99),0)</f>
        <v>51.1</v>
      </c>
      <c r="F9" s="20" t="n">
        <f aca="false">IF(F$4="运营",(4_总成本费用!F$17+4_总成本费用!F$22)/(0_参数!$C$101/0_参数!$C$99),0)</f>
        <v>51.1</v>
      </c>
      <c r="G9" s="20" t="n">
        <f aca="false">IF(G$4="运营",(4_总成本费用!G$17+4_总成本费用!G$22)/(0_参数!$C$101/0_参数!$C$99),0)</f>
        <v>51.1</v>
      </c>
      <c r="H9" s="20" t="n">
        <f aca="false">IF(H$4="运营",(4_总成本费用!H$17+4_总成本费用!H$22)/(0_参数!$C$101/0_参数!$C$99),0)</f>
        <v>51.1</v>
      </c>
      <c r="I9" s="20" t="n">
        <f aca="false">IF(I$4="运营",(4_总成本费用!I$17+4_总成本费用!I$22)/(0_参数!$C$101/0_参数!$C$99),0)</f>
        <v>51.1</v>
      </c>
      <c r="J9" s="20" t="n">
        <f aca="false">IF(J$4="运营",(4_总成本费用!J$17+4_总成本费用!J$22)/(0_参数!$C$101/0_参数!$C$99),0)</f>
        <v>51.1</v>
      </c>
      <c r="K9" s="20" t="n">
        <f aca="false">IF(K$4="运营",(4_总成本费用!K$17+4_总成本费用!K$22)/(0_参数!$C$101/0_参数!$C$99),0)</f>
        <v>51.1</v>
      </c>
      <c r="L9" s="20" t="n">
        <f aca="false">IF(L$4="运营",(4_总成本费用!L$17+4_总成本费用!L$22)/(0_参数!$C$101/0_参数!$C$99),0)</f>
        <v>51.1</v>
      </c>
      <c r="M9" s="20" t="n">
        <f aca="false">IF(M$4="运营",(4_总成本费用!M$17+4_总成本费用!M$22)/(0_参数!$C$101/0_参数!$C$99),0)</f>
        <v>51.1</v>
      </c>
      <c r="N9" s="20" t="n">
        <f aca="false">IF(N$4="运营",(4_总成本费用!N$17+4_总成本费用!N$22)/(0_参数!$C$101/0_参数!$C$99),0)</f>
        <v>51.1</v>
      </c>
      <c r="O9" s="20" t="n">
        <f aca="false">IF(O$4="运营",(4_总成本费用!O$17+4_总成本费用!O$22)/(0_参数!$C$101/0_参数!$C$99),0)</f>
        <v>0</v>
      </c>
      <c r="P9" s="20" t="n">
        <f aca="false">IF(P$4="运营",(4_总成本费用!P$17+4_总成本费用!P$22)/(0_参数!$C$101/0_参数!$C$99),0)</f>
        <v>0</v>
      </c>
      <c r="Q9" s="20" t="n">
        <f aca="false">IF(Q$4="运营",(4_总成本费用!Q$17+4_总成本费用!Q$22)/(0_参数!$C$101/0_参数!$C$99),0)</f>
        <v>0</v>
      </c>
      <c r="R9" s="20" t="n">
        <f aca="false">IF(R$4="运营",(4_总成本费用!R$17+4_总成本费用!R$22)/(0_参数!$C$101/0_参数!$C$99),0)</f>
        <v>0</v>
      </c>
      <c r="S9" s="20" t="n">
        <f aca="false">IF(S$4="运营",(4_总成本费用!S$17+4_总成本费用!S$22)/(0_参数!$C$101/0_参数!$C$99),0)</f>
        <v>0</v>
      </c>
      <c r="T9" s="20" t="n">
        <f aca="false">IF(T$4="运营",(4_总成本费用!T$17+4_总成本费用!T$22)/(0_参数!$C$101/0_参数!$C$99),0)</f>
        <v>0</v>
      </c>
      <c r="U9" s="20" t="n">
        <f aca="false">IF(U$4="运营",(4_总成本费用!U$17+4_总成本费用!U$22)/(0_参数!$C$101/0_参数!$C$99),0)</f>
        <v>0</v>
      </c>
      <c r="V9" s="14"/>
    </row>
    <row r="10" customFormat="false" ht="15" hidden="false" customHeight="false" outlineLevel="0" collapsed="false">
      <c r="A10" s="13" t="s">
        <v>30</v>
      </c>
      <c r="B10" s="54" t="s">
        <v>620</v>
      </c>
      <c r="C10" s="14" t="s">
        <v>95</v>
      </c>
      <c r="D10" s="55" t="n">
        <f aca="false">D7+D8+D9</f>
        <v>0</v>
      </c>
      <c r="E10" s="55" t="n">
        <f aca="false">E7+E8+E9</f>
        <v>1879.69304463912</v>
      </c>
      <c r="F10" s="55" t="n">
        <f aca="false">F7+F8+F9</f>
        <v>2108.10025394151</v>
      </c>
      <c r="G10" s="55" t="n">
        <f aca="false">G7+G8+G9</f>
        <v>2108.10025394151</v>
      </c>
      <c r="H10" s="55" t="n">
        <f aca="false">H7+H8+H9</f>
        <v>2108.10025394151</v>
      </c>
      <c r="I10" s="55" t="n">
        <f aca="false">I7+I8+I9</f>
        <v>2108.10025394151</v>
      </c>
      <c r="J10" s="55" t="n">
        <f aca="false">J7+J8+J9</f>
        <v>2108.10025394151</v>
      </c>
      <c r="K10" s="55" t="n">
        <f aca="false">K7+K8+K9</f>
        <v>2108.10025394151</v>
      </c>
      <c r="L10" s="55" t="n">
        <f aca="false">L7+L8+L9</f>
        <v>2108.10025394151</v>
      </c>
      <c r="M10" s="55" t="n">
        <f aca="false">M7+M8+M9</f>
        <v>2108.10025394151</v>
      </c>
      <c r="N10" s="55" t="n">
        <f aca="false">N7+N8+N9</f>
        <v>2108.10025394151</v>
      </c>
      <c r="O10" s="55" t="n">
        <f aca="false">O7+O8+O9</f>
        <v>0</v>
      </c>
      <c r="P10" s="55" t="n">
        <f aca="false">P7+P8+P9</f>
        <v>0</v>
      </c>
      <c r="Q10" s="55" t="n">
        <f aca="false">Q7+Q8+Q9</f>
        <v>0</v>
      </c>
      <c r="R10" s="55" t="n">
        <f aca="false">R7+R8+R9</f>
        <v>0</v>
      </c>
      <c r="S10" s="55" t="n">
        <f aca="false">S7+S8+S9</f>
        <v>0</v>
      </c>
      <c r="T10" s="55" t="n">
        <f aca="false">T7+T8+T9</f>
        <v>0</v>
      </c>
      <c r="U10" s="55" t="n">
        <f aca="false">U7+U8+U9</f>
        <v>0</v>
      </c>
      <c r="V10" s="14"/>
    </row>
    <row r="11" customFormat="false" ht="15" hidden="false" customHeight="false" outlineLevel="0" collapsed="false">
      <c r="A11" s="13" t="s">
        <v>58</v>
      </c>
      <c r="B11" s="14" t="s">
        <v>621</v>
      </c>
      <c r="C11" s="14" t="s">
        <v>95</v>
      </c>
      <c r="D11" s="20" t="n">
        <f aca="false">IF(D$4="运营",(4_总成本费用!D$16+4_总成本费用!D$13+4_总成本费用!D$18)/(0_参数!$C$101/0_参数!$C$100),0)</f>
        <v>0</v>
      </c>
      <c r="E11" s="20" t="n">
        <f aca="false">IF(E$4="运营",(4_总成本费用!E$16+4_总成本费用!E$13+4_总成本费用!E$18)/(0_参数!$C$101/0_参数!$C$100),0)</f>
        <v>147.838327657991</v>
      </c>
      <c r="F11" s="20" t="n">
        <f aca="false">IF(F$4="运营",(4_总成本费用!F$16+4_总成本费用!F$13+4_总成本费用!F$18)/(0_参数!$C$101/0_参数!$C$100),0)</f>
        <v>154.358744507548</v>
      </c>
      <c r="G11" s="20" t="n">
        <f aca="false">IF(G$4="运营",(4_总成本费用!G$16+4_总成本费用!G$13+4_总成本费用!G$18)/(0_参数!$C$101/0_参数!$C$100),0)</f>
        <v>154.358744507548</v>
      </c>
      <c r="H11" s="20" t="n">
        <f aca="false">IF(H$4="运营",(4_总成本费用!H$16+4_总成本费用!H$13+4_总成本费用!H$18)/(0_参数!$C$101/0_参数!$C$100),0)</f>
        <v>154.358744507548</v>
      </c>
      <c r="I11" s="20" t="n">
        <f aca="false">IF(I$4="运营",(4_总成本费用!I$16+4_总成本费用!I$13+4_总成本费用!I$18)/(0_参数!$C$101/0_参数!$C$100),0)</f>
        <v>154.358744507548</v>
      </c>
      <c r="J11" s="20" t="n">
        <f aca="false">IF(J$4="运营",(4_总成本费用!J$16+4_总成本费用!J$13+4_总成本费用!J$18)/(0_参数!$C$101/0_参数!$C$100),0)</f>
        <v>154.358744507548</v>
      </c>
      <c r="K11" s="20" t="n">
        <f aca="false">IF(K$4="运营",(4_总成本费用!K$16+4_总成本费用!K$13+4_总成本费用!K$18)/(0_参数!$C$101/0_参数!$C$100),0)</f>
        <v>154.358744507548</v>
      </c>
      <c r="L11" s="20" t="n">
        <f aca="false">IF(L$4="运营",(4_总成本费用!L$16+4_总成本费用!L$13+4_总成本费用!L$18)/(0_参数!$C$101/0_参数!$C$100),0)</f>
        <v>154.358744507548</v>
      </c>
      <c r="M11" s="20" t="n">
        <f aca="false">IF(M$4="运营",(4_总成本费用!M$16+4_总成本费用!M$13+4_总成本费用!M$18)/(0_参数!$C$101/0_参数!$C$100),0)</f>
        <v>154.358744507548</v>
      </c>
      <c r="N11" s="20" t="n">
        <f aca="false">IF(N$4="运营",(4_总成本费用!N$16+4_总成本费用!N$13+4_总成本费用!N$18)/(0_参数!$C$101/0_参数!$C$100),0)</f>
        <v>154.358744507548</v>
      </c>
      <c r="O11" s="20" t="n">
        <f aca="false">IF(O$4="运营",(4_总成本费用!O$16+4_总成本费用!O$13+4_总成本费用!O$18)/(0_参数!$C$101/0_参数!$C$100),0)</f>
        <v>0</v>
      </c>
      <c r="P11" s="20" t="n">
        <f aca="false">IF(P$4="运营",(4_总成本费用!P$16+4_总成本费用!P$13+4_总成本费用!P$18)/(0_参数!$C$101/0_参数!$C$100),0)</f>
        <v>0</v>
      </c>
      <c r="Q11" s="20" t="n">
        <f aca="false">IF(Q$4="运营",(4_总成本费用!Q$16+4_总成本费用!Q$13+4_总成本费用!Q$18)/(0_参数!$C$101/0_参数!$C$100),0)</f>
        <v>0</v>
      </c>
      <c r="R11" s="20" t="n">
        <f aca="false">IF(R$4="运营",(4_总成本费用!R$16+4_总成本费用!R$13+4_总成本费用!R$18)/(0_参数!$C$101/0_参数!$C$100),0)</f>
        <v>0</v>
      </c>
      <c r="S11" s="20" t="n">
        <f aca="false">IF(S$4="运营",(4_总成本费用!S$16+4_总成本费用!S$13+4_总成本费用!S$18)/(0_参数!$C$101/0_参数!$C$100),0)</f>
        <v>0</v>
      </c>
      <c r="T11" s="20" t="n">
        <f aca="false">IF(T$4="运营",(4_总成本费用!T$16+4_总成本费用!T$13+4_总成本费用!T$18)/(0_参数!$C$101/0_参数!$C$100),0)</f>
        <v>0</v>
      </c>
      <c r="U11" s="20" t="n">
        <f aca="false">IF(U$4="运营",(4_总成本费用!U$16+4_总成本费用!U$13+4_总成本费用!U$18)/(0_参数!$C$101/0_参数!$C$100),0)</f>
        <v>0</v>
      </c>
      <c r="V11" s="14"/>
    </row>
    <row r="12" customFormat="false" ht="15" hidden="false" customHeight="false" outlineLevel="0" collapsed="false">
      <c r="A12" s="13" t="s">
        <v>56</v>
      </c>
      <c r="B12" s="54" t="s">
        <v>622</v>
      </c>
      <c r="C12" s="14" t="s">
        <v>95</v>
      </c>
      <c r="D12" s="55" t="n">
        <f aca="false">D11</f>
        <v>0</v>
      </c>
      <c r="E12" s="55" t="n">
        <f aca="false">E11</f>
        <v>147.838327657991</v>
      </c>
      <c r="F12" s="55" t="n">
        <f aca="false">F11</f>
        <v>154.358744507548</v>
      </c>
      <c r="G12" s="55" t="n">
        <f aca="false">G11</f>
        <v>154.358744507548</v>
      </c>
      <c r="H12" s="55" t="n">
        <f aca="false">H11</f>
        <v>154.358744507548</v>
      </c>
      <c r="I12" s="55" t="n">
        <f aca="false">I11</f>
        <v>154.358744507548</v>
      </c>
      <c r="J12" s="55" t="n">
        <f aca="false">J11</f>
        <v>154.358744507548</v>
      </c>
      <c r="K12" s="55" t="n">
        <f aca="false">K11</f>
        <v>154.358744507548</v>
      </c>
      <c r="L12" s="55" t="n">
        <f aca="false">L11</f>
        <v>154.358744507548</v>
      </c>
      <c r="M12" s="55" t="n">
        <f aca="false">M11</f>
        <v>154.358744507548</v>
      </c>
      <c r="N12" s="55" t="n">
        <f aca="false">N11</f>
        <v>154.358744507548</v>
      </c>
      <c r="O12" s="55" t="n">
        <f aca="false">O11</f>
        <v>0</v>
      </c>
      <c r="P12" s="55" t="n">
        <f aca="false">P11</f>
        <v>0</v>
      </c>
      <c r="Q12" s="55" t="n">
        <f aca="false">Q11</f>
        <v>0</v>
      </c>
      <c r="R12" s="55" t="n">
        <f aca="false">R11</f>
        <v>0</v>
      </c>
      <c r="S12" s="55" t="n">
        <f aca="false">S11</f>
        <v>0</v>
      </c>
      <c r="T12" s="55" t="n">
        <f aca="false">T11</f>
        <v>0</v>
      </c>
      <c r="U12" s="55" t="n">
        <f aca="false">U11</f>
        <v>0</v>
      </c>
      <c r="V12" s="14"/>
    </row>
    <row r="13" customFormat="false" ht="15" hidden="false" customHeight="false" outlineLevel="0" collapsed="false">
      <c r="A13" s="66" t="s">
        <v>78</v>
      </c>
      <c r="B13" s="50" t="s">
        <v>623</v>
      </c>
      <c r="C13" s="49" t="s">
        <v>95</v>
      </c>
      <c r="D13" s="51" t="n">
        <f aca="false">D10-D12</f>
        <v>0</v>
      </c>
      <c r="E13" s="51" t="n">
        <f aca="false">E10-E12</f>
        <v>1731.85471698113</v>
      </c>
      <c r="F13" s="51" t="n">
        <f aca="false">F10-F12</f>
        <v>1953.74150943396</v>
      </c>
      <c r="G13" s="51" t="n">
        <f aca="false">G10-G12</f>
        <v>1953.74150943396</v>
      </c>
      <c r="H13" s="51" t="n">
        <f aca="false">H10-H12</f>
        <v>1953.74150943396</v>
      </c>
      <c r="I13" s="51" t="n">
        <f aca="false">I10-I12</f>
        <v>1953.74150943396</v>
      </c>
      <c r="J13" s="51" t="n">
        <f aca="false">J10-J12</f>
        <v>1953.74150943396</v>
      </c>
      <c r="K13" s="51" t="n">
        <f aca="false">K10-K12</f>
        <v>1953.74150943396</v>
      </c>
      <c r="L13" s="51" t="n">
        <f aca="false">L10-L12</f>
        <v>1953.74150943396</v>
      </c>
      <c r="M13" s="51" t="n">
        <f aca="false">M10-M12</f>
        <v>1953.74150943396</v>
      </c>
      <c r="N13" s="51" t="n">
        <f aca="false">N10-N12</f>
        <v>1953.74150943396</v>
      </c>
      <c r="O13" s="51" t="n">
        <f aca="false">O10-O12</f>
        <v>0</v>
      </c>
      <c r="P13" s="51" t="n">
        <f aca="false">P10-P12</f>
        <v>0</v>
      </c>
      <c r="Q13" s="51" t="n">
        <f aca="false">Q10-Q12</f>
        <v>0</v>
      </c>
      <c r="R13" s="51" t="n">
        <f aca="false">R10-R12</f>
        <v>0</v>
      </c>
      <c r="S13" s="51" t="n">
        <f aca="false">S10-S12</f>
        <v>0</v>
      </c>
      <c r="T13" s="51" t="n">
        <f aca="false">T10-T12</f>
        <v>0</v>
      </c>
      <c r="U13" s="51" t="n">
        <f aca="false">U10-U12</f>
        <v>0</v>
      </c>
      <c r="V13" s="49"/>
    </row>
    <row r="14" customFormat="false" ht="15" hidden="false" customHeight="false" outlineLevel="0" collapsed="false">
      <c r="A14" s="13" t="s">
        <v>91</v>
      </c>
      <c r="B14" s="14" t="s">
        <v>624</v>
      </c>
      <c r="C14" s="14" t="s">
        <v>95</v>
      </c>
      <c r="D14" s="46" t="n">
        <f aca="false">IF(D$4="运营",D13,0)</f>
        <v>0</v>
      </c>
      <c r="E14" s="46" t="n">
        <f aca="false">IF(E$4="运营",E13-IF(1=0,0,D13),0)</f>
        <v>1731.85471698113</v>
      </c>
      <c r="F14" s="46" t="n">
        <f aca="false">IF(F$4="运营",F13-IF(2=0,0,E13),0)</f>
        <v>221.88679245283</v>
      </c>
      <c r="G14" s="46" t="n">
        <f aca="false">IF(G$4="运营",G13-IF(3=0,0,F13),0)</f>
        <v>0</v>
      </c>
      <c r="H14" s="46" t="n">
        <f aca="false">IF(H$4="运营",H13-IF(4=0,0,G13),0)</f>
        <v>0</v>
      </c>
      <c r="I14" s="46" t="n">
        <f aca="false">IF(I$4="运营",I13-IF(5=0,0,H13),0)</f>
        <v>0</v>
      </c>
      <c r="J14" s="46" t="n">
        <f aca="false">IF(J$4="运营",J13-IF(6=0,0,I13),0)</f>
        <v>0</v>
      </c>
      <c r="K14" s="46" t="n">
        <f aca="false">IF(K$4="运营",K13-IF(7=0,0,J13),0)</f>
        <v>0</v>
      </c>
      <c r="L14" s="46" t="n">
        <f aca="false">IF(L$4="运营",L13-IF(8=0,0,K13),0)</f>
        <v>0</v>
      </c>
      <c r="M14" s="46" t="n">
        <f aca="false">IF(M$4="运营",M13-IF(9=0,0,L13),0)</f>
        <v>0</v>
      </c>
      <c r="N14" s="46" t="n">
        <f aca="false">IF(N$4="运营",N13-IF(10=0,0,M13),0)</f>
        <v>0</v>
      </c>
      <c r="O14" s="46" t="n">
        <f aca="false">IF(O$4="运营",O13-IF(11=0,0,N13),0)</f>
        <v>0</v>
      </c>
      <c r="P14" s="46" t="n">
        <f aca="false">IF(P$4="运营",P13-IF(12=0,0,O13),0)</f>
        <v>0</v>
      </c>
      <c r="Q14" s="46" t="n">
        <f aca="false">IF(Q$4="运营",Q13-IF(13=0,0,P13),0)</f>
        <v>0</v>
      </c>
      <c r="R14" s="46" t="n">
        <f aca="false">IF(R$4="运营",R13-IF(14=0,0,Q13),0)</f>
        <v>0</v>
      </c>
      <c r="S14" s="46" t="n">
        <f aca="false">IF(S$4="运营",S13-IF(15=0,0,R13),0)</f>
        <v>0</v>
      </c>
      <c r="T14" s="46" t="n">
        <f aca="false">IF(T$4="运营",T13-IF(16=0,0,S13),0)</f>
        <v>0</v>
      </c>
      <c r="U14" s="46" t="n">
        <f aca="false">IF(U$4="运营",U13-IF(17=0,0,T13),0)</f>
        <v>0</v>
      </c>
      <c r="V14" s="46" t="n">
        <f aca="false">SUM(D14:U14)</f>
        <v>1953.74150943396</v>
      </c>
    </row>
    <row r="15" customFormat="false" ht="15" hidden="false" customHeight="false" outlineLevel="0" collapsed="false">
      <c r="B15" s="54" t="s">
        <v>625</v>
      </c>
      <c r="V15" s="67" t="n">
        <f aca="false">INDEX(D13:U13,0_参数!$C$9+0_参数!$C$15)</f>
        <v>1953.74150943396</v>
      </c>
    </row>
    <row r="16" customFormat="false" ht="15" hidden="false" customHeight="false" outlineLevel="0" collapsed="false">
      <c r="B16" s="54" t="s">
        <v>626</v>
      </c>
      <c r="V16" s="60" t="n">
        <f aca="false">V15*(1-0_参数!$C$93)</f>
        <v>586.122452830189</v>
      </c>
    </row>
    <row r="17" customFormat="false" ht="15" hidden="false" customHeight="false" outlineLevel="0" collapsed="false">
      <c r="A17" s="13" t="s">
        <v>118</v>
      </c>
      <c r="B17" s="14" t="s">
        <v>627</v>
      </c>
      <c r="C17" s="14" t="s">
        <v>95</v>
      </c>
      <c r="D17" s="20" t="n">
        <f aca="false">D14*0_参数!$C$93</f>
        <v>0</v>
      </c>
      <c r="E17" s="20" t="n">
        <f aca="false">E14*0_参数!$C$93</f>
        <v>1212.29830188679</v>
      </c>
      <c r="F17" s="20" t="n">
        <f aca="false">F14*0_参数!$C$93</f>
        <v>155.320754716981</v>
      </c>
      <c r="G17" s="20" t="n">
        <f aca="false">G14*0_参数!$C$93</f>
        <v>0</v>
      </c>
      <c r="H17" s="20" t="n">
        <f aca="false">H14*0_参数!$C$93</f>
        <v>0</v>
      </c>
      <c r="I17" s="20" t="n">
        <f aca="false">I14*0_参数!$C$93</f>
        <v>0</v>
      </c>
      <c r="J17" s="20" t="n">
        <f aca="false">J14*0_参数!$C$93</f>
        <v>0</v>
      </c>
      <c r="K17" s="20" t="n">
        <f aca="false">K14*0_参数!$C$93</f>
        <v>0</v>
      </c>
      <c r="L17" s="20" t="n">
        <f aca="false">L14*0_参数!$C$93</f>
        <v>0</v>
      </c>
      <c r="M17" s="20" t="n">
        <f aca="false">M14*0_参数!$C$93</f>
        <v>0</v>
      </c>
      <c r="N17" s="20" t="n">
        <f aca="false">N14*0_参数!$C$93</f>
        <v>0</v>
      </c>
      <c r="O17" s="20" t="n">
        <f aca="false">O14*0_参数!$C$93</f>
        <v>0</v>
      </c>
      <c r="P17" s="20" t="n">
        <f aca="false">P14*0_参数!$C$93</f>
        <v>0</v>
      </c>
      <c r="Q17" s="20" t="n">
        <f aca="false">Q14*0_参数!$C$93</f>
        <v>0</v>
      </c>
      <c r="R17" s="20" t="n">
        <f aca="false">R14*0_参数!$C$93</f>
        <v>0</v>
      </c>
      <c r="S17" s="20" t="n">
        <f aca="false">S14*0_参数!$C$93</f>
        <v>0</v>
      </c>
      <c r="T17" s="20" t="n">
        <f aca="false">T14*0_参数!$C$93</f>
        <v>0</v>
      </c>
      <c r="U17" s="20" t="n">
        <f aca="false">U14*0_参数!$C$93</f>
        <v>0</v>
      </c>
      <c r="V17" s="46" t="n">
        <f aca="false">SUM(D17:U17)</f>
        <v>1367.61905660377</v>
      </c>
    </row>
    <row r="18" customFormat="false" ht="15" hidden="false" customHeight="false" outlineLevel="0" collapsed="false">
      <c r="A18" s="13" t="s">
        <v>161</v>
      </c>
      <c r="B18" s="14" t="s">
        <v>628</v>
      </c>
      <c r="C18" s="14" t="s">
        <v>95</v>
      </c>
      <c r="D18" s="20" t="n">
        <f aca="false">D14*(1-0_参数!$C$93)</f>
        <v>0</v>
      </c>
      <c r="E18" s="20" t="n">
        <f aca="false">E14*(1-0_参数!$C$93)</f>
        <v>519.55641509434</v>
      </c>
      <c r="F18" s="20" t="n">
        <f aca="false">F14*(1-0_参数!$C$93)</f>
        <v>66.5660377358491</v>
      </c>
      <c r="G18" s="20" t="n">
        <f aca="false">G14*(1-0_参数!$C$93)</f>
        <v>0</v>
      </c>
      <c r="H18" s="20" t="n">
        <f aca="false">H14*(1-0_参数!$C$93)</f>
        <v>0</v>
      </c>
      <c r="I18" s="20" t="n">
        <f aca="false">I14*(1-0_参数!$C$93)</f>
        <v>0</v>
      </c>
      <c r="J18" s="20" t="n">
        <f aca="false">J14*(1-0_参数!$C$93)</f>
        <v>0</v>
      </c>
      <c r="K18" s="20" t="n">
        <f aca="false">K14*(1-0_参数!$C$93)</f>
        <v>0</v>
      </c>
      <c r="L18" s="20" t="n">
        <f aca="false">L14*(1-0_参数!$C$93)</f>
        <v>0</v>
      </c>
      <c r="M18" s="20" t="n">
        <f aca="false">M14*(1-0_参数!$C$93)</f>
        <v>0</v>
      </c>
      <c r="N18" s="20" t="n">
        <f aca="false">N14*(1-0_参数!$C$93)</f>
        <v>0</v>
      </c>
      <c r="O18" s="20" t="n">
        <f aca="false">O14*(1-0_参数!$C$93)</f>
        <v>0</v>
      </c>
      <c r="P18" s="20" t="n">
        <f aca="false">P14*(1-0_参数!$C$93)</f>
        <v>0</v>
      </c>
      <c r="Q18" s="20" t="n">
        <f aca="false">Q14*(1-0_参数!$C$93)</f>
        <v>0</v>
      </c>
      <c r="R18" s="20" t="n">
        <f aca="false">R14*(1-0_参数!$C$93)</f>
        <v>0</v>
      </c>
      <c r="S18" s="20" t="n">
        <f aca="false">S14*(1-0_参数!$C$93)</f>
        <v>0</v>
      </c>
      <c r="T18" s="20" t="n">
        <f aca="false">T14*(1-0_参数!$C$93)</f>
        <v>0</v>
      </c>
      <c r="U18" s="20" t="n">
        <f aca="false">U14*(1-0_参数!$C$93)</f>
        <v>0</v>
      </c>
      <c r="V18" s="46" t="n">
        <f aca="false">SUM(D18:U18)</f>
        <v>586.122452830189</v>
      </c>
    </row>
    <row r="19" customFormat="false" ht="15" hidden="false" customHeight="false" outlineLevel="0" collapsed="false">
      <c r="A19" s="13" t="s">
        <v>556</v>
      </c>
      <c r="B19" s="14" t="s">
        <v>629</v>
      </c>
      <c r="C19" s="14" t="s">
        <v>95</v>
      </c>
      <c r="D19" s="20" t="n">
        <f aca="false">IF(D$3=0_参数!$C$9+0_参数!$C$10,D13,0)</f>
        <v>0</v>
      </c>
      <c r="E19" s="20" t="n">
        <f aca="false">IF(E$3=0_参数!$C$9+0_参数!$C$10,E13,0)</f>
        <v>0</v>
      </c>
      <c r="F19" s="20" t="n">
        <f aca="false">IF(F$3=0_参数!$C$9+0_参数!$C$10,F13,0)</f>
        <v>0</v>
      </c>
      <c r="G19" s="20" t="n">
        <f aca="false">IF(G$3=0_参数!$C$9+0_参数!$C$10,G13,0)</f>
        <v>0</v>
      </c>
      <c r="H19" s="20" t="n">
        <f aca="false">IF(H$3=0_参数!$C$9+0_参数!$C$10,H13,0)</f>
        <v>0</v>
      </c>
      <c r="I19" s="20" t="n">
        <f aca="false">IF(I$3=0_参数!$C$9+0_参数!$C$10,I13,0)</f>
        <v>0</v>
      </c>
      <c r="J19" s="20" t="n">
        <f aca="false">IF(J$3=0_参数!$C$9+0_参数!$C$10,J13,0)</f>
        <v>0</v>
      </c>
      <c r="K19" s="20" t="n">
        <f aca="false">IF(K$3=0_参数!$C$9+0_参数!$C$10,K13,0)</f>
        <v>0</v>
      </c>
      <c r="L19" s="20" t="n">
        <f aca="false">IF(L$3=0_参数!$C$9+0_参数!$C$10,L13,0)</f>
        <v>0</v>
      </c>
      <c r="M19" s="20" t="n">
        <f aca="false">IF(M$3=0_参数!$C$9+0_参数!$C$10,M13,0)</f>
        <v>0</v>
      </c>
      <c r="N19" s="20" t="n">
        <f aca="false">IF(N$3=0_参数!$C$9+0_参数!$C$10,N13,0)</f>
        <v>1953.74150943396</v>
      </c>
      <c r="O19" s="20" t="n">
        <f aca="false">IF(O$3=0_参数!$C$9+0_参数!$C$10,O13,0)</f>
        <v>0</v>
      </c>
      <c r="P19" s="20" t="n">
        <f aca="false">IF(P$3=0_参数!$C$9+0_参数!$C$10,P13,0)</f>
        <v>0</v>
      </c>
      <c r="Q19" s="20" t="n">
        <f aca="false">IF(Q$3=0_参数!$C$9+0_参数!$C$10,Q13,0)</f>
        <v>0</v>
      </c>
      <c r="R19" s="20" t="n">
        <f aca="false">IF(R$3=0_参数!$C$9+0_参数!$C$10,R13,0)</f>
        <v>0</v>
      </c>
      <c r="S19" s="20" t="n">
        <f aca="false">IF(S$3=0_参数!$C$9+0_参数!$C$10,S13,0)</f>
        <v>0</v>
      </c>
      <c r="T19" s="20" t="n">
        <f aca="false">IF(T$3=0_参数!$C$9+0_参数!$C$10,T13,0)</f>
        <v>0</v>
      </c>
      <c r="U19" s="20" t="n">
        <f aca="false">IF(U$3=0_参数!$C$9+0_参数!$C$10,U13,0)</f>
        <v>0</v>
      </c>
      <c r="V19" s="46" t="n">
        <f aca="false">SUM(D19:U19)</f>
        <v>1953.74150943396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21" min="4" style="0" width="11"/>
    <col collapsed="false" customWidth="true" hidden="false" outlineLevel="0" max="22" min="22" style="0" width="13"/>
  </cols>
  <sheetData>
    <row r="1" customFormat="false" ht="21.6" hidden="false" customHeight="false" outlineLevel="0" collapsed="false">
      <c r="A1" s="6" t="s">
        <v>630</v>
      </c>
    </row>
    <row r="2" customFormat="false" ht="15" hidden="false" customHeight="false" outlineLevel="0" collapsed="false">
      <c r="A2" s="7" t="s">
        <v>631</v>
      </c>
    </row>
    <row r="3" customFormat="false" ht="15" hidden="false" customHeight="false" outlineLevel="0" collapsed="false">
      <c r="A3" s="27" t="s">
        <v>25</v>
      </c>
      <c r="B3" s="27" t="s">
        <v>611</v>
      </c>
      <c r="C3" s="27" t="s">
        <v>612</v>
      </c>
      <c r="D3" s="61" t="n">
        <v>1</v>
      </c>
      <c r="E3" s="61" t="n">
        <f aca="false">D3+1</f>
        <v>2</v>
      </c>
      <c r="F3" s="61" t="n">
        <f aca="false">E3+1</f>
        <v>3</v>
      </c>
      <c r="G3" s="61" t="n">
        <f aca="false">F3+1</f>
        <v>4</v>
      </c>
      <c r="H3" s="61" t="n">
        <f aca="false">G3+1</f>
        <v>5</v>
      </c>
      <c r="I3" s="61" t="n">
        <f aca="false">H3+1</f>
        <v>6</v>
      </c>
      <c r="J3" s="61" t="n">
        <f aca="false">I3+1</f>
        <v>7</v>
      </c>
      <c r="K3" s="61" t="n">
        <f aca="false">J3+1</f>
        <v>8</v>
      </c>
      <c r="L3" s="61" t="n">
        <f aca="false">K3+1</f>
        <v>9</v>
      </c>
      <c r="M3" s="61" t="n">
        <f aca="false">L3+1</f>
        <v>10</v>
      </c>
      <c r="N3" s="61" t="n">
        <f aca="false">M3+1</f>
        <v>11</v>
      </c>
      <c r="O3" s="61" t="n">
        <f aca="false">N3+1</f>
        <v>12</v>
      </c>
      <c r="P3" s="61" t="n">
        <f aca="false">O3+1</f>
        <v>13</v>
      </c>
      <c r="Q3" s="61" t="n">
        <f aca="false">P3+1</f>
        <v>14</v>
      </c>
      <c r="R3" s="61" t="n">
        <f aca="false">Q3+1</f>
        <v>15</v>
      </c>
      <c r="S3" s="61" t="n">
        <f aca="false">R3+1</f>
        <v>16</v>
      </c>
      <c r="T3" s="61" t="n">
        <f aca="false">S3+1</f>
        <v>17</v>
      </c>
      <c r="U3" s="61" t="n">
        <f aca="false">T3+1</f>
        <v>18</v>
      </c>
      <c r="V3" s="8" t="s">
        <v>613</v>
      </c>
    </row>
    <row r="4" customFormat="false" ht="15" hidden="false" customHeight="false" outlineLevel="0" collapsed="false">
      <c r="A4" s="62"/>
      <c r="B4" s="27" t="s">
        <v>614</v>
      </c>
      <c r="C4" s="62"/>
      <c r="D4" s="63" t="str">
        <f aca="false">IF(D$3&lt;=0_参数!$C$9,"建设",IF(D$3&lt;=0_参数!$C$9+0_参数!$C$10,"运营",""))</f>
        <v>建设</v>
      </c>
      <c r="E4" s="63" t="str">
        <f aca="false">IF(E$3&lt;=0_参数!$C$9,"建设",IF(E$3&lt;=0_参数!$C$9+0_参数!$C$10,"运营",""))</f>
        <v>运营</v>
      </c>
      <c r="F4" s="63" t="str">
        <f aca="false">IF(F$3&lt;=0_参数!$C$9,"建设",IF(F$3&lt;=0_参数!$C$9+0_参数!$C$10,"运营",""))</f>
        <v>运营</v>
      </c>
      <c r="G4" s="63" t="str">
        <f aca="false">IF(G$3&lt;=0_参数!$C$9,"建设",IF(G$3&lt;=0_参数!$C$9+0_参数!$C$10,"运营",""))</f>
        <v>运营</v>
      </c>
      <c r="H4" s="63" t="str">
        <f aca="false">IF(H$3&lt;=0_参数!$C$9,"建设",IF(H$3&lt;=0_参数!$C$9+0_参数!$C$10,"运营",""))</f>
        <v>运营</v>
      </c>
      <c r="I4" s="63" t="str">
        <f aca="false">IF(I$3&lt;=0_参数!$C$9,"建设",IF(I$3&lt;=0_参数!$C$9+0_参数!$C$10,"运营",""))</f>
        <v>运营</v>
      </c>
      <c r="J4" s="63" t="str">
        <f aca="false">IF(J$3&lt;=0_参数!$C$9,"建设",IF(J$3&lt;=0_参数!$C$9+0_参数!$C$10,"运营",""))</f>
        <v>运营</v>
      </c>
      <c r="K4" s="63" t="str">
        <f aca="false">IF(K$3&lt;=0_参数!$C$9,"建设",IF(K$3&lt;=0_参数!$C$9+0_参数!$C$10,"运营",""))</f>
        <v>运营</v>
      </c>
      <c r="L4" s="63" t="str">
        <f aca="false">IF(L$3&lt;=0_参数!$C$9,"建设",IF(L$3&lt;=0_参数!$C$9+0_参数!$C$10,"运营",""))</f>
        <v>运营</v>
      </c>
      <c r="M4" s="63" t="str">
        <f aca="false">IF(M$3&lt;=0_参数!$C$9,"建设",IF(M$3&lt;=0_参数!$C$9+0_参数!$C$10,"运营",""))</f>
        <v>运营</v>
      </c>
      <c r="N4" s="63" t="str">
        <f aca="false">IF(N$3&lt;=0_参数!$C$9,"建设",IF(N$3&lt;=0_参数!$C$9+0_参数!$C$10,"运营",""))</f>
        <v>运营</v>
      </c>
      <c r="O4" s="63" t="str">
        <f aca="false">IF(O$3&lt;=0_参数!$C$9,"建设",IF(O$3&lt;=0_参数!$C$9+0_参数!$C$10,"运营",""))</f>
        <v/>
      </c>
      <c r="P4" s="63" t="str">
        <f aca="false">IF(P$3&lt;=0_参数!$C$9,"建设",IF(P$3&lt;=0_参数!$C$9+0_参数!$C$10,"运营",""))</f>
        <v/>
      </c>
      <c r="Q4" s="63" t="str">
        <f aca="false">IF(Q$3&lt;=0_参数!$C$9,"建设",IF(Q$3&lt;=0_参数!$C$9+0_参数!$C$10,"运营",""))</f>
        <v/>
      </c>
      <c r="R4" s="63" t="str">
        <f aca="false">IF(R$3&lt;=0_参数!$C$9,"建设",IF(R$3&lt;=0_参数!$C$9+0_参数!$C$10,"运营",""))</f>
        <v/>
      </c>
      <c r="S4" s="63" t="str">
        <f aca="false">IF(S$3&lt;=0_参数!$C$9,"建设",IF(S$3&lt;=0_参数!$C$9+0_参数!$C$10,"运营",""))</f>
        <v/>
      </c>
      <c r="T4" s="63" t="str">
        <f aca="false">IF(T$3&lt;=0_参数!$C$9,"建设",IF(T$3&lt;=0_参数!$C$9+0_参数!$C$10,"运营",""))</f>
        <v/>
      </c>
      <c r="U4" s="63" t="str">
        <f aca="false">IF(U$3&lt;=0_参数!$C$9,"建设",IF(U$3&lt;=0_参数!$C$9+0_参数!$C$10,"运营",""))</f>
        <v/>
      </c>
      <c r="V4" s="62"/>
    </row>
    <row r="5" customFormat="false" ht="15" hidden="false" customHeight="false" outlineLevel="0" collapsed="false">
      <c r="A5" s="62"/>
      <c r="B5" s="27" t="s">
        <v>615</v>
      </c>
      <c r="C5" s="62"/>
      <c r="D5" s="64" t="n">
        <f aca="false">IF(D$4="运营",D$3-0_参数!$C$9,0)</f>
        <v>0</v>
      </c>
      <c r="E5" s="64" t="n">
        <f aca="false">IF(E$4="运营",E$3-0_参数!$C$9,0)</f>
        <v>1</v>
      </c>
      <c r="F5" s="64" t="n">
        <f aca="false">IF(F$4="运营",F$3-0_参数!$C$9,0)</f>
        <v>2</v>
      </c>
      <c r="G5" s="64" t="n">
        <f aca="false">IF(G$4="运营",G$3-0_参数!$C$9,0)</f>
        <v>3</v>
      </c>
      <c r="H5" s="64" t="n">
        <f aca="false">IF(H$4="运营",H$3-0_参数!$C$9,0)</f>
        <v>4</v>
      </c>
      <c r="I5" s="64" t="n">
        <f aca="false">IF(I$4="运营",I$3-0_参数!$C$9,0)</f>
        <v>5</v>
      </c>
      <c r="J5" s="64" t="n">
        <f aca="false">IF(J$4="运营",J$3-0_参数!$C$9,0)</f>
        <v>6</v>
      </c>
      <c r="K5" s="64" t="n">
        <f aca="false">IF(K$4="运营",K$3-0_参数!$C$9,0)</f>
        <v>7</v>
      </c>
      <c r="L5" s="64" t="n">
        <f aca="false">IF(L$4="运营",L$3-0_参数!$C$9,0)</f>
        <v>8</v>
      </c>
      <c r="M5" s="64" t="n">
        <f aca="false">IF(M$4="运营",M$3-0_参数!$C$9,0)</f>
        <v>9</v>
      </c>
      <c r="N5" s="64" t="n">
        <f aca="false">IF(N$4="运营",N$3-0_参数!$C$9,0)</f>
        <v>10</v>
      </c>
      <c r="O5" s="64" t="n">
        <f aca="false">IF(O$4="运营",O$3-0_参数!$C$9,0)</f>
        <v>0</v>
      </c>
      <c r="P5" s="64" t="n">
        <f aca="false">IF(P$4="运营",P$3-0_参数!$C$9,0)</f>
        <v>0</v>
      </c>
      <c r="Q5" s="64" t="n">
        <f aca="false">IF(Q$4="运营",Q$3-0_参数!$C$9,0)</f>
        <v>0</v>
      </c>
      <c r="R5" s="64" t="n">
        <f aca="false">IF(R$4="运营",R$3-0_参数!$C$9,0)</f>
        <v>0</v>
      </c>
      <c r="S5" s="64" t="n">
        <f aca="false">IF(S$4="运营",S$3-0_参数!$C$9,0)</f>
        <v>0</v>
      </c>
      <c r="T5" s="64" t="n">
        <f aca="false">IF(T$4="运营",T$3-0_参数!$C$9,0)</f>
        <v>0</v>
      </c>
      <c r="U5" s="64" t="n">
        <f aca="false">IF(U$4="运营",U$3-0_参数!$C$9,0)</f>
        <v>0</v>
      </c>
      <c r="V5" s="62"/>
    </row>
    <row r="6" customFormat="false" ht="15" hidden="false" customHeight="false" outlineLevel="0" collapsed="false">
      <c r="A6" s="62"/>
      <c r="B6" s="27" t="s">
        <v>616</v>
      </c>
      <c r="C6" s="62"/>
      <c r="D6" s="65" t="n">
        <f aca="false">IF(D$4="建设",D$3,0)</f>
        <v>1</v>
      </c>
      <c r="E6" s="65" t="n">
        <f aca="false">IF(E$4="建设",E$3,0)</f>
        <v>0</v>
      </c>
      <c r="F6" s="65" t="n">
        <f aca="false">IF(F$4="建设",F$3,0)</f>
        <v>0</v>
      </c>
      <c r="G6" s="65" t="n">
        <f aca="false">IF(G$4="建设",G$3,0)</f>
        <v>0</v>
      </c>
      <c r="H6" s="65" t="n">
        <f aca="false">IF(H$4="建设",H$3,0)</f>
        <v>0</v>
      </c>
      <c r="I6" s="65" t="n">
        <f aca="false">IF(I$4="建设",I$3,0)</f>
        <v>0</v>
      </c>
      <c r="J6" s="65" t="n">
        <f aca="false">IF(J$4="建设",J$3,0)</f>
        <v>0</v>
      </c>
      <c r="K6" s="65" t="n">
        <f aca="false">IF(K$4="建设",K$3,0)</f>
        <v>0</v>
      </c>
      <c r="L6" s="65" t="n">
        <f aca="false">IF(L$4="建设",L$3,0)</f>
        <v>0</v>
      </c>
      <c r="M6" s="65" t="n">
        <f aca="false">IF(M$4="建设",M$3,0)</f>
        <v>0</v>
      </c>
      <c r="N6" s="65" t="n">
        <f aca="false">IF(N$4="建设",N$3,0)</f>
        <v>0</v>
      </c>
      <c r="O6" s="65" t="n">
        <f aca="false">IF(O$4="建设",O$3,0)</f>
        <v>0</v>
      </c>
      <c r="P6" s="65" t="n">
        <f aca="false">IF(P$4="建设",P$3,0)</f>
        <v>0</v>
      </c>
      <c r="Q6" s="65" t="n">
        <f aca="false">IF(Q$4="建设",Q$3,0)</f>
        <v>0</v>
      </c>
      <c r="R6" s="65" t="n">
        <f aca="false">IF(R$4="建设",R$3,0)</f>
        <v>0</v>
      </c>
      <c r="S6" s="65" t="n">
        <f aca="false">IF(S$4="建设",S$3,0)</f>
        <v>0</v>
      </c>
      <c r="T6" s="65" t="n">
        <f aca="false">IF(T$4="建设",T$3,0)</f>
        <v>0</v>
      </c>
      <c r="U6" s="65" t="n">
        <f aca="false">IF(U$4="建设",U$3,0)</f>
        <v>0</v>
      </c>
      <c r="V6" s="62"/>
    </row>
    <row r="7" customFormat="false" ht="15" hidden="false" customHeight="false" outlineLevel="0" collapsed="false">
      <c r="A7" s="14"/>
      <c r="B7" s="14" t="s">
        <v>632</v>
      </c>
      <c r="C7" s="14"/>
      <c r="D7" s="68" t="n">
        <f aca="false">IF(D$6=1,0_参数!$C$11,IF(D$6=2,0_参数!$C$12,IF(D$6=3,0_参数!$C$13,0)))</f>
        <v>1</v>
      </c>
      <c r="E7" s="68" t="n">
        <f aca="false">IF(E$6=1,0_参数!$C$11,IF(E$6=2,0_参数!$C$12,IF(E$6=3,0_参数!$C$13,0)))</f>
        <v>0</v>
      </c>
      <c r="F7" s="68" t="n">
        <f aca="false">IF(F$6=1,0_参数!$C$11,IF(F$6=2,0_参数!$C$12,IF(F$6=3,0_参数!$C$13,0)))</f>
        <v>0</v>
      </c>
      <c r="G7" s="68" t="n">
        <f aca="false">IF(G$6=1,0_参数!$C$11,IF(G$6=2,0_参数!$C$12,IF(G$6=3,0_参数!$C$13,0)))</f>
        <v>0</v>
      </c>
      <c r="H7" s="68" t="n">
        <f aca="false">IF(H$6=1,0_参数!$C$11,IF(H$6=2,0_参数!$C$12,IF(H$6=3,0_参数!$C$13,0)))</f>
        <v>0</v>
      </c>
      <c r="I7" s="68" t="n">
        <f aca="false">IF(I$6=1,0_参数!$C$11,IF(I$6=2,0_参数!$C$12,IF(I$6=3,0_参数!$C$13,0)))</f>
        <v>0</v>
      </c>
      <c r="J7" s="68" t="n">
        <f aca="false">IF(J$6=1,0_参数!$C$11,IF(J$6=2,0_参数!$C$12,IF(J$6=3,0_参数!$C$13,0)))</f>
        <v>0</v>
      </c>
      <c r="K7" s="68" t="n">
        <f aca="false">IF(K$6=1,0_参数!$C$11,IF(K$6=2,0_参数!$C$12,IF(K$6=3,0_参数!$C$13,0)))</f>
        <v>0</v>
      </c>
      <c r="L7" s="68" t="n">
        <f aca="false">IF(L$6=1,0_参数!$C$11,IF(L$6=2,0_参数!$C$12,IF(L$6=3,0_参数!$C$13,0)))</f>
        <v>0</v>
      </c>
      <c r="M7" s="68" t="n">
        <f aca="false">IF(M$6=1,0_参数!$C$11,IF(M$6=2,0_参数!$C$12,IF(M$6=3,0_参数!$C$13,0)))</f>
        <v>0</v>
      </c>
      <c r="N7" s="68" t="n">
        <f aca="false">IF(N$6=1,0_参数!$C$11,IF(N$6=2,0_参数!$C$12,IF(N$6=3,0_参数!$C$13,0)))</f>
        <v>0</v>
      </c>
      <c r="O7" s="68" t="n">
        <f aca="false">IF(O$6=1,0_参数!$C$11,IF(O$6=2,0_参数!$C$12,IF(O$6=3,0_参数!$C$13,0)))</f>
        <v>0</v>
      </c>
      <c r="P7" s="68" t="n">
        <f aca="false">IF(P$6=1,0_参数!$C$11,IF(P$6=2,0_参数!$C$12,IF(P$6=3,0_参数!$C$13,0)))</f>
        <v>0</v>
      </c>
      <c r="Q7" s="68" t="n">
        <f aca="false">IF(Q$6=1,0_参数!$C$11,IF(Q$6=2,0_参数!$C$12,IF(Q$6=3,0_参数!$C$13,0)))</f>
        <v>0</v>
      </c>
      <c r="R7" s="68" t="n">
        <f aca="false">IF(R$6=1,0_参数!$C$11,IF(R$6=2,0_参数!$C$12,IF(R$6=3,0_参数!$C$13,0)))</f>
        <v>0</v>
      </c>
      <c r="S7" s="68" t="n">
        <f aca="false">IF(S$6=1,0_参数!$C$11,IF(S$6=2,0_参数!$C$12,IF(S$6=3,0_参数!$C$13,0)))</f>
        <v>0</v>
      </c>
      <c r="T7" s="68" t="n">
        <f aca="false">IF(T$6=1,0_参数!$C$11,IF(T$6=2,0_参数!$C$12,IF(T$6=3,0_参数!$C$13,0)))</f>
        <v>0</v>
      </c>
      <c r="U7" s="68" t="n">
        <f aca="false">IF(U$6=1,0_参数!$C$11,IF(U$6=2,0_参数!$C$12,IF(U$6=3,0_参数!$C$13,0)))</f>
        <v>0</v>
      </c>
      <c r="V7" s="47" t="n">
        <f aca="false">SUM(D7:U7)</f>
        <v>1</v>
      </c>
    </row>
    <row r="8" customFormat="false" ht="15" hidden="false" customHeight="false" outlineLevel="0" collapsed="false">
      <c r="A8" s="13" t="s">
        <v>32</v>
      </c>
      <c r="B8" s="14" t="s">
        <v>633</v>
      </c>
      <c r="C8" s="14" t="s">
        <v>95</v>
      </c>
      <c r="D8" s="20" t="n">
        <f aca="false">1_总投资估算!$G$29*D7</f>
        <v>122417.006061</v>
      </c>
      <c r="E8" s="20" t="n">
        <f aca="false">1_总投资估算!$G$29*E7</f>
        <v>0</v>
      </c>
      <c r="F8" s="20" t="n">
        <f aca="false">1_总投资估算!$G$29*F7</f>
        <v>0</v>
      </c>
      <c r="G8" s="20" t="n">
        <f aca="false">1_总投资估算!$G$29*G7</f>
        <v>0</v>
      </c>
      <c r="H8" s="20" t="n">
        <f aca="false">1_总投资估算!$G$29*H7</f>
        <v>0</v>
      </c>
      <c r="I8" s="20" t="n">
        <f aca="false">1_总投资估算!$G$29*I7</f>
        <v>0</v>
      </c>
      <c r="J8" s="20" t="n">
        <f aca="false">1_总投资估算!$G$29*J7</f>
        <v>0</v>
      </c>
      <c r="K8" s="20" t="n">
        <f aca="false">1_总投资估算!$G$29*K7</f>
        <v>0</v>
      </c>
      <c r="L8" s="20" t="n">
        <f aca="false">1_总投资估算!$G$29*L7</f>
        <v>0</v>
      </c>
      <c r="M8" s="20" t="n">
        <f aca="false">1_总投资估算!$G$29*M7</f>
        <v>0</v>
      </c>
      <c r="N8" s="20" t="n">
        <f aca="false">1_总投资估算!$G$29*N7</f>
        <v>0</v>
      </c>
      <c r="O8" s="20" t="n">
        <f aca="false">1_总投资估算!$G$29*O7</f>
        <v>0</v>
      </c>
      <c r="P8" s="20" t="n">
        <f aca="false">1_总投资估算!$G$29*P7</f>
        <v>0</v>
      </c>
      <c r="Q8" s="20" t="n">
        <f aca="false">1_总投资估算!$G$29*Q7</f>
        <v>0</v>
      </c>
      <c r="R8" s="20" t="n">
        <f aca="false">1_总投资估算!$G$29*R7</f>
        <v>0</v>
      </c>
      <c r="S8" s="20" t="n">
        <f aca="false">1_总投资估算!$G$29*S7</f>
        <v>0</v>
      </c>
      <c r="T8" s="20" t="n">
        <f aca="false">1_总投资估算!$G$29*T7</f>
        <v>0</v>
      </c>
      <c r="U8" s="20" t="n">
        <f aca="false">1_总投资估算!$G$29*U7</f>
        <v>0</v>
      </c>
      <c r="V8" s="46" t="n">
        <f aca="false">SUM(D8:U8)</f>
        <v>122417.006061</v>
      </c>
    </row>
    <row r="9" customFormat="false" ht="15" hidden="false" customHeight="false" outlineLevel="0" collapsed="false">
      <c r="A9" s="13" t="s">
        <v>36</v>
      </c>
      <c r="B9" s="14" t="s">
        <v>634</v>
      </c>
      <c r="C9" s="14" t="s">
        <v>95</v>
      </c>
      <c r="D9" s="20" t="n">
        <f aca="false">11_还本付息!D$9</f>
        <v>1536.255090915</v>
      </c>
      <c r="E9" s="20" t="n">
        <f aca="false">11_还本付息!E$9</f>
        <v>0</v>
      </c>
      <c r="F9" s="20" t="n">
        <f aca="false">11_还本付息!F$9</f>
        <v>0</v>
      </c>
      <c r="G9" s="20" t="n">
        <f aca="false">11_还本付息!G$9</f>
        <v>0</v>
      </c>
      <c r="H9" s="20" t="n">
        <f aca="false">11_还本付息!H$9</f>
        <v>0</v>
      </c>
      <c r="I9" s="20" t="n">
        <f aca="false">11_还本付息!I$9</f>
        <v>0</v>
      </c>
      <c r="J9" s="20" t="n">
        <f aca="false">11_还本付息!J$9</f>
        <v>0</v>
      </c>
      <c r="K9" s="20" t="n">
        <f aca="false">11_还本付息!K$9</f>
        <v>0</v>
      </c>
      <c r="L9" s="20" t="n">
        <f aca="false">11_还本付息!L$9</f>
        <v>0</v>
      </c>
      <c r="M9" s="20" t="n">
        <f aca="false">11_还本付息!M$9</f>
        <v>0</v>
      </c>
      <c r="N9" s="20" t="n">
        <f aca="false">11_还本付息!N$9</f>
        <v>0</v>
      </c>
      <c r="O9" s="20" t="n">
        <f aca="false">11_还本付息!O$9</f>
        <v>0</v>
      </c>
      <c r="P9" s="20" t="n">
        <f aca="false">11_还本付息!P$9</f>
        <v>0</v>
      </c>
      <c r="Q9" s="20" t="n">
        <f aca="false">11_还本付息!Q$9</f>
        <v>0</v>
      </c>
      <c r="R9" s="20" t="n">
        <f aca="false">11_还本付息!R$9</f>
        <v>0</v>
      </c>
      <c r="S9" s="20" t="n">
        <f aca="false">11_还本付息!S$9</f>
        <v>0</v>
      </c>
      <c r="T9" s="20" t="n">
        <f aca="false">11_还本付息!T$9</f>
        <v>0</v>
      </c>
      <c r="U9" s="20" t="n">
        <f aca="false">11_还本付息!U$9</f>
        <v>0</v>
      </c>
      <c r="V9" s="46" t="n">
        <f aca="false">SUM(D9:U9)</f>
        <v>1536.255090915</v>
      </c>
    </row>
    <row r="10" customFormat="false" ht="15" hidden="false" customHeight="false" outlineLevel="0" collapsed="false">
      <c r="A10" s="13" t="s">
        <v>40</v>
      </c>
      <c r="B10" s="14" t="s">
        <v>635</v>
      </c>
      <c r="C10" s="14" t="s">
        <v>95</v>
      </c>
      <c r="D10" s="20" t="n">
        <f aca="false">2_流动资金!D$14</f>
        <v>0</v>
      </c>
      <c r="E10" s="20" t="n">
        <f aca="false">2_流动资金!E$14</f>
        <v>1731.85471698113</v>
      </c>
      <c r="F10" s="20" t="n">
        <f aca="false">2_流动资金!F$14</f>
        <v>221.88679245283</v>
      </c>
      <c r="G10" s="20" t="n">
        <f aca="false">2_流动资金!G$14</f>
        <v>0</v>
      </c>
      <c r="H10" s="20" t="n">
        <f aca="false">2_流动资金!H$14</f>
        <v>0</v>
      </c>
      <c r="I10" s="20" t="n">
        <f aca="false">2_流动资金!I$14</f>
        <v>0</v>
      </c>
      <c r="J10" s="20" t="n">
        <f aca="false">2_流动资金!J$14</f>
        <v>0</v>
      </c>
      <c r="K10" s="20" t="n">
        <f aca="false">2_流动资金!K$14</f>
        <v>0</v>
      </c>
      <c r="L10" s="20" t="n">
        <f aca="false">2_流动资金!L$14</f>
        <v>0</v>
      </c>
      <c r="M10" s="20" t="n">
        <f aca="false">2_流动资金!M$14</f>
        <v>0</v>
      </c>
      <c r="N10" s="20" t="n">
        <f aca="false">2_流动资金!N$14</f>
        <v>0</v>
      </c>
      <c r="O10" s="20" t="n">
        <f aca="false">2_流动资金!O$14</f>
        <v>0</v>
      </c>
      <c r="P10" s="20" t="n">
        <f aca="false">2_流动资金!P$14</f>
        <v>0</v>
      </c>
      <c r="Q10" s="20" t="n">
        <f aca="false">2_流动资金!Q$14</f>
        <v>0</v>
      </c>
      <c r="R10" s="20" t="n">
        <f aca="false">2_流动资金!R$14</f>
        <v>0</v>
      </c>
      <c r="S10" s="20" t="n">
        <f aca="false">2_流动资金!S$14</f>
        <v>0</v>
      </c>
      <c r="T10" s="20" t="n">
        <f aca="false">2_流动资金!T$14</f>
        <v>0</v>
      </c>
      <c r="U10" s="20" t="n">
        <f aca="false">2_流动资金!U$14</f>
        <v>0</v>
      </c>
      <c r="V10" s="46" t="n">
        <f aca="false">SUM(D10:U10)</f>
        <v>1953.74150943396</v>
      </c>
    </row>
    <row r="11" customFormat="false" ht="15" hidden="false" customHeight="false" outlineLevel="0" collapsed="false">
      <c r="A11" s="66" t="s">
        <v>30</v>
      </c>
      <c r="B11" s="50" t="s">
        <v>636</v>
      </c>
      <c r="C11" s="49" t="s">
        <v>95</v>
      </c>
      <c r="D11" s="51" t="n">
        <f aca="false">D8+D9+D10</f>
        <v>123953.261151915</v>
      </c>
      <c r="E11" s="51" t="n">
        <f aca="false">E8+E9+E10</f>
        <v>1731.85471698113</v>
      </c>
      <c r="F11" s="51" t="n">
        <f aca="false">F8+F9+F10</f>
        <v>221.88679245283</v>
      </c>
      <c r="G11" s="51" t="n">
        <f aca="false">G8+G9+G10</f>
        <v>0</v>
      </c>
      <c r="H11" s="51" t="n">
        <f aca="false">H8+H9+H10</f>
        <v>0</v>
      </c>
      <c r="I11" s="51" t="n">
        <f aca="false">I8+I9+I10</f>
        <v>0</v>
      </c>
      <c r="J11" s="51" t="n">
        <f aca="false">J8+J9+J10</f>
        <v>0</v>
      </c>
      <c r="K11" s="51" t="n">
        <f aca="false">K8+K9+K10</f>
        <v>0</v>
      </c>
      <c r="L11" s="51" t="n">
        <f aca="false">L8+L9+L10</f>
        <v>0</v>
      </c>
      <c r="M11" s="51" t="n">
        <f aca="false">M8+M9+M10</f>
        <v>0</v>
      </c>
      <c r="N11" s="51" t="n">
        <f aca="false">N8+N9+N10</f>
        <v>0</v>
      </c>
      <c r="O11" s="51" t="n">
        <f aca="false">O8+O9+O10</f>
        <v>0</v>
      </c>
      <c r="P11" s="51" t="n">
        <f aca="false">P8+P9+P10</f>
        <v>0</v>
      </c>
      <c r="Q11" s="51" t="n">
        <f aca="false">Q8+Q9+Q10</f>
        <v>0</v>
      </c>
      <c r="R11" s="51" t="n">
        <f aca="false">R8+R9+R10</f>
        <v>0</v>
      </c>
      <c r="S11" s="51" t="n">
        <f aca="false">S8+S9+S10</f>
        <v>0</v>
      </c>
      <c r="T11" s="51" t="n">
        <f aca="false">T8+T9+T10</f>
        <v>0</v>
      </c>
      <c r="U11" s="51" t="n">
        <f aca="false">U8+U9+U10</f>
        <v>0</v>
      </c>
      <c r="V11" s="51" t="n">
        <f aca="false">SUM(D11:U11)</f>
        <v>125907.002661349</v>
      </c>
    </row>
    <row r="12" customFormat="false" ht="15" hidden="false" customHeight="false" outlineLevel="0" collapsed="false">
      <c r="A12" s="13" t="s">
        <v>637</v>
      </c>
      <c r="B12" s="14" t="s">
        <v>638</v>
      </c>
      <c r="C12" s="14" t="s">
        <v>95</v>
      </c>
      <c r="D12" s="20" t="n">
        <f aca="false">MIN(0_参数!$C$89,1_总投资估算!$G$29)*D7</f>
        <v>20000</v>
      </c>
      <c r="E12" s="20" t="n">
        <f aca="false">MIN(0_参数!$C$89,1_总投资估算!$G$29)*E7</f>
        <v>0</v>
      </c>
      <c r="F12" s="20" t="n">
        <f aca="false">MIN(0_参数!$C$89,1_总投资估算!$G$29)*F7</f>
        <v>0</v>
      </c>
      <c r="G12" s="20" t="n">
        <f aca="false">MIN(0_参数!$C$89,1_总投资估算!$G$29)*G7</f>
        <v>0</v>
      </c>
      <c r="H12" s="20" t="n">
        <f aca="false">MIN(0_参数!$C$89,1_总投资估算!$G$29)*H7</f>
        <v>0</v>
      </c>
      <c r="I12" s="20" t="n">
        <f aca="false">MIN(0_参数!$C$89,1_总投资估算!$G$29)*I7</f>
        <v>0</v>
      </c>
      <c r="J12" s="20" t="n">
        <f aca="false">MIN(0_参数!$C$89,1_总投资估算!$G$29)*J7</f>
        <v>0</v>
      </c>
      <c r="K12" s="20" t="n">
        <f aca="false">MIN(0_参数!$C$89,1_总投资估算!$G$29)*K7</f>
        <v>0</v>
      </c>
      <c r="L12" s="20" t="n">
        <f aca="false">MIN(0_参数!$C$89,1_总投资估算!$G$29)*L7</f>
        <v>0</v>
      </c>
      <c r="M12" s="20" t="n">
        <f aca="false">MIN(0_参数!$C$89,1_总投资估算!$G$29)*M7</f>
        <v>0</v>
      </c>
      <c r="N12" s="20" t="n">
        <f aca="false">MIN(0_参数!$C$89,1_总投资估算!$G$29)*N7</f>
        <v>0</v>
      </c>
      <c r="O12" s="20" t="n">
        <f aca="false">MIN(0_参数!$C$89,1_总投资估算!$G$29)*O7</f>
        <v>0</v>
      </c>
      <c r="P12" s="20" t="n">
        <f aca="false">MIN(0_参数!$C$89,1_总投资估算!$G$29)*P7</f>
        <v>0</v>
      </c>
      <c r="Q12" s="20" t="n">
        <f aca="false">MIN(0_参数!$C$89,1_总投资估算!$G$29)*Q7</f>
        <v>0</v>
      </c>
      <c r="R12" s="20" t="n">
        <f aca="false">MIN(0_参数!$C$89,1_总投资估算!$G$29)*R7</f>
        <v>0</v>
      </c>
      <c r="S12" s="20" t="n">
        <f aca="false">MIN(0_参数!$C$89,1_总投资估算!$G$29)*S7</f>
        <v>0</v>
      </c>
      <c r="T12" s="20" t="n">
        <f aca="false">MIN(0_参数!$C$89,1_总投资估算!$G$29)*T7</f>
        <v>0</v>
      </c>
      <c r="U12" s="20" t="n">
        <f aca="false">MIN(0_参数!$C$89,1_总投资估算!$G$29)*U7</f>
        <v>0</v>
      </c>
      <c r="V12" s="46" t="n">
        <f aca="false">SUM(D12:U12)</f>
        <v>20000</v>
      </c>
    </row>
    <row r="13" customFormat="false" ht="15" hidden="false" customHeight="false" outlineLevel="0" collapsed="false">
      <c r="A13" s="13" t="s">
        <v>639</v>
      </c>
      <c r="B13" s="14" t="s">
        <v>640</v>
      </c>
      <c r="C13" s="14" t="s">
        <v>95</v>
      </c>
      <c r="D13" s="20" t="n">
        <f aca="false">IF(0_参数!$C$92=0,D9,0)</f>
        <v>0</v>
      </c>
      <c r="E13" s="20" t="n">
        <f aca="false">IF(0_参数!$C$92=0,E9,0)</f>
        <v>0</v>
      </c>
      <c r="F13" s="20" t="n">
        <f aca="false">IF(0_参数!$C$92=0,F9,0)</f>
        <v>0</v>
      </c>
      <c r="G13" s="20" t="n">
        <f aca="false">IF(0_参数!$C$92=0,G9,0)</f>
        <v>0</v>
      </c>
      <c r="H13" s="20" t="n">
        <f aca="false">IF(0_参数!$C$92=0,H9,0)</f>
        <v>0</v>
      </c>
      <c r="I13" s="20" t="n">
        <f aca="false">IF(0_参数!$C$92=0,I9,0)</f>
        <v>0</v>
      </c>
      <c r="J13" s="20" t="n">
        <f aca="false">IF(0_参数!$C$92=0,J9,0)</f>
        <v>0</v>
      </c>
      <c r="K13" s="20" t="n">
        <f aca="false">IF(0_参数!$C$92=0,K9,0)</f>
        <v>0</v>
      </c>
      <c r="L13" s="20" t="n">
        <f aca="false">IF(0_参数!$C$92=0,L9,0)</f>
        <v>0</v>
      </c>
      <c r="M13" s="20" t="n">
        <f aca="false">IF(0_参数!$C$92=0,M9,0)</f>
        <v>0</v>
      </c>
      <c r="N13" s="20" t="n">
        <f aca="false">IF(0_参数!$C$92=0,N9,0)</f>
        <v>0</v>
      </c>
      <c r="O13" s="20" t="n">
        <f aca="false">IF(0_参数!$C$92=0,O9,0)</f>
        <v>0</v>
      </c>
      <c r="P13" s="20" t="n">
        <f aca="false">IF(0_参数!$C$92=0,P9,0)</f>
        <v>0</v>
      </c>
      <c r="Q13" s="20" t="n">
        <f aca="false">IF(0_参数!$C$92=0,Q9,0)</f>
        <v>0</v>
      </c>
      <c r="R13" s="20" t="n">
        <f aca="false">IF(0_参数!$C$92=0,R9,0)</f>
        <v>0</v>
      </c>
      <c r="S13" s="20" t="n">
        <f aca="false">IF(0_参数!$C$92=0,S9,0)</f>
        <v>0</v>
      </c>
      <c r="T13" s="20" t="n">
        <f aca="false">IF(0_参数!$C$92=0,T9,0)</f>
        <v>0</v>
      </c>
      <c r="U13" s="20" t="n">
        <f aca="false">IF(0_参数!$C$92=0,U9,0)</f>
        <v>0</v>
      </c>
      <c r="V13" s="46" t="n">
        <f aca="false">SUM(D13:U13)</f>
        <v>0</v>
      </c>
    </row>
    <row r="14" customFormat="false" ht="15" hidden="false" customHeight="false" outlineLevel="0" collapsed="false">
      <c r="A14" s="13" t="s">
        <v>641</v>
      </c>
      <c r="B14" s="14" t="s">
        <v>642</v>
      </c>
      <c r="C14" s="14" t="s">
        <v>95</v>
      </c>
      <c r="D14" s="20" t="n">
        <f aca="false">2_流动资金!D$18</f>
        <v>0</v>
      </c>
      <c r="E14" s="20" t="n">
        <f aca="false">2_流动资金!E$18</f>
        <v>519.55641509434</v>
      </c>
      <c r="F14" s="20" t="n">
        <f aca="false">2_流动资金!F$18</f>
        <v>66.5660377358491</v>
      </c>
      <c r="G14" s="20" t="n">
        <f aca="false">2_流动资金!G$18</f>
        <v>0</v>
      </c>
      <c r="H14" s="20" t="n">
        <f aca="false">2_流动资金!H$18</f>
        <v>0</v>
      </c>
      <c r="I14" s="20" t="n">
        <f aca="false">2_流动资金!I$18</f>
        <v>0</v>
      </c>
      <c r="J14" s="20" t="n">
        <f aca="false">2_流动资金!J$18</f>
        <v>0</v>
      </c>
      <c r="K14" s="20" t="n">
        <f aca="false">2_流动资金!K$18</f>
        <v>0</v>
      </c>
      <c r="L14" s="20" t="n">
        <f aca="false">2_流动资金!L$18</f>
        <v>0</v>
      </c>
      <c r="M14" s="20" t="n">
        <f aca="false">2_流动资金!M$18</f>
        <v>0</v>
      </c>
      <c r="N14" s="20" t="n">
        <f aca="false">2_流动资金!N$18</f>
        <v>0</v>
      </c>
      <c r="O14" s="20" t="n">
        <f aca="false">2_流动资金!O$18</f>
        <v>0</v>
      </c>
      <c r="P14" s="20" t="n">
        <f aca="false">2_流动资金!P$18</f>
        <v>0</v>
      </c>
      <c r="Q14" s="20" t="n">
        <f aca="false">2_流动资金!Q$18</f>
        <v>0</v>
      </c>
      <c r="R14" s="20" t="n">
        <f aca="false">2_流动资金!R$18</f>
        <v>0</v>
      </c>
      <c r="S14" s="20" t="n">
        <f aca="false">2_流动资金!S$18</f>
        <v>0</v>
      </c>
      <c r="T14" s="20" t="n">
        <f aca="false">2_流动资金!T$18</f>
        <v>0</v>
      </c>
      <c r="U14" s="20" t="n">
        <f aca="false">2_流动资金!U$18</f>
        <v>0</v>
      </c>
      <c r="V14" s="46" t="n">
        <f aca="false">SUM(D14:U14)</f>
        <v>586.122452830189</v>
      </c>
    </row>
    <row r="15" customFormat="false" ht="15" hidden="false" customHeight="false" outlineLevel="0" collapsed="false">
      <c r="A15" s="13" t="s">
        <v>58</v>
      </c>
      <c r="B15" s="54" t="s">
        <v>643</v>
      </c>
      <c r="C15" s="14" t="s">
        <v>95</v>
      </c>
      <c r="D15" s="55" t="n">
        <f aca="false">D12+D13+D14</f>
        <v>20000</v>
      </c>
      <c r="E15" s="55" t="n">
        <f aca="false">E12+E13+E14</f>
        <v>519.55641509434</v>
      </c>
      <c r="F15" s="55" t="n">
        <f aca="false">F12+F13+F14</f>
        <v>66.5660377358491</v>
      </c>
      <c r="G15" s="55" t="n">
        <f aca="false">G12+G13+G14</f>
        <v>0</v>
      </c>
      <c r="H15" s="55" t="n">
        <f aca="false">H12+H13+H14</f>
        <v>0</v>
      </c>
      <c r="I15" s="55" t="n">
        <f aca="false">I12+I13+I14</f>
        <v>0</v>
      </c>
      <c r="J15" s="55" t="n">
        <f aca="false">J12+J13+J14</f>
        <v>0</v>
      </c>
      <c r="K15" s="55" t="n">
        <f aca="false">K12+K13+K14</f>
        <v>0</v>
      </c>
      <c r="L15" s="55" t="n">
        <f aca="false">L12+L13+L14</f>
        <v>0</v>
      </c>
      <c r="M15" s="55" t="n">
        <f aca="false">M12+M13+M14</f>
        <v>0</v>
      </c>
      <c r="N15" s="55" t="n">
        <f aca="false">N12+N13+N14</f>
        <v>0</v>
      </c>
      <c r="O15" s="55" t="n">
        <f aca="false">O12+O13+O14</f>
        <v>0</v>
      </c>
      <c r="P15" s="55" t="n">
        <f aca="false">P12+P13+P14</f>
        <v>0</v>
      </c>
      <c r="Q15" s="55" t="n">
        <f aca="false">Q12+Q13+Q14</f>
        <v>0</v>
      </c>
      <c r="R15" s="55" t="n">
        <f aca="false">R12+R13+R14</f>
        <v>0</v>
      </c>
      <c r="S15" s="55" t="n">
        <f aca="false">S12+S13+S14</f>
        <v>0</v>
      </c>
      <c r="T15" s="55" t="n">
        <f aca="false">T12+T13+T14</f>
        <v>0</v>
      </c>
      <c r="U15" s="55" t="n">
        <f aca="false">U12+U13+U14</f>
        <v>0</v>
      </c>
      <c r="V15" s="55" t="n">
        <f aca="false">SUM(D15:U15)</f>
        <v>20586.1224528302</v>
      </c>
    </row>
    <row r="16" customFormat="false" ht="15" hidden="false" customHeight="false" outlineLevel="0" collapsed="false">
      <c r="A16" s="13" t="s">
        <v>644</v>
      </c>
      <c r="B16" s="14" t="s">
        <v>645</v>
      </c>
      <c r="C16" s="14" t="s">
        <v>95</v>
      </c>
      <c r="D16" s="46" t="n">
        <f aca="false">D8-D12</f>
        <v>102417.006061</v>
      </c>
      <c r="E16" s="46" t="n">
        <f aca="false">E8-E12</f>
        <v>0</v>
      </c>
      <c r="F16" s="46" t="n">
        <f aca="false">F8-F12</f>
        <v>0</v>
      </c>
      <c r="G16" s="46" t="n">
        <f aca="false">G8-G12</f>
        <v>0</v>
      </c>
      <c r="H16" s="46" t="n">
        <f aca="false">H8-H12</f>
        <v>0</v>
      </c>
      <c r="I16" s="46" t="n">
        <f aca="false">I8-I12</f>
        <v>0</v>
      </c>
      <c r="J16" s="46" t="n">
        <f aca="false">J8-J12</f>
        <v>0</v>
      </c>
      <c r="K16" s="46" t="n">
        <f aca="false">K8-K12</f>
        <v>0</v>
      </c>
      <c r="L16" s="46" t="n">
        <f aca="false">L8-L12</f>
        <v>0</v>
      </c>
      <c r="M16" s="46" t="n">
        <f aca="false">M8-M12</f>
        <v>0</v>
      </c>
      <c r="N16" s="46" t="n">
        <f aca="false">N8-N12</f>
        <v>0</v>
      </c>
      <c r="O16" s="46" t="n">
        <f aca="false">O8-O12</f>
        <v>0</v>
      </c>
      <c r="P16" s="46" t="n">
        <f aca="false">P8-P12</f>
        <v>0</v>
      </c>
      <c r="Q16" s="46" t="n">
        <f aca="false">Q8-Q12</f>
        <v>0</v>
      </c>
      <c r="R16" s="46" t="n">
        <f aca="false">R8-R12</f>
        <v>0</v>
      </c>
      <c r="S16" s="46" t="n">
        <f aca="false">S8-S12</f>
        <v>0</v>
      </c>
      <c r="T16" s="46" t="n">
        <f aca="false">T8-T12</f>
        <v>0</v>
      </c>
      <c r="U16" s="46" t="n">
        <f aca="false">U8-U12</f>
        <v>0</v>
      </c>
      <c r="V16" s="46" t="n">
        <f aca="false">SUM(D16:U16)</f>
        <v>102417.006061</v>
      </c>
    </row>
    <row r="17" customFormat="false" ht="15" hidden="false" customHeight="false" outlineLevel="0" collapsed="false">
      <c r="A17" s="13" t="s">
        <v>646</v>
      </c>
      <c r="B17" s="14" t="s">
        <v>647</v>
      </c>
      <c r="C17" s="14" t="s">
        <v>95</v>
      </c>
      <c r="D17" s="20" t="n">
        <f aca="false">IF(0_参数!$C$92=1,D9,0)</f>
        <v>1536.255090915</v>
      </c>
      <c r="E17" s="20" t="n">
        <f aca="false">IF(0_参数!$C$92=1,E9,0)</f>
        <v>0</v>
      </c>
      <c r="F17" s="20" t="n">
        <f aca="false">IF(0_参数!$C$92=1,F9,0)</f>
        <v>0</v>
      </c>
      <c r="G17" s="20" t="n">
        <f aca="false">IF(0_参数!$C$92=1,G9,0)</f>
        <v>0</v>
      </c>
      <c r="H17" s="20" t="n">
        <f aca="false">IF(0_参数!$C$92=1,H9,0)</f>
        <v>0</v>
      </c>
      <c r="I17" s="20" t="n">
        <f aca="false">IF(0_参数!$C$92=1,I9,0)</f>
        <v>0</v>
      </c>
      <c r="J17" s="20" t="n">
        <f aca="false">IF(0_参数!$C$92=1,J9,0)</f>
        <v>0</v>
      </c>
      <c r="K17" s="20" t="n">
        <f aca="false">IF(0_参数!$C$92=1,K9,0)</f>
        <v>0</v>
      </c>
      <c r="L17" s="20" t="n">
        <f aca="false">IF(0_参数!$C$92=1,L9,0)</f>
        <v>0</v>
      </c>
      <c r="M17" s="20" t="n">
        <f aca="false">IF(0_参数!$C$92=1,M9,0)</f>
        <v>0</v>
      </c>
      <c r="N17" s="20" t="n">
        <f aca="false">IF(0_参数!$C$92=1,N9,0)</f>
        <v>0</v>
      </c>
      <c r="O17" s="20" t="n">
        <f aca="false">IF(0_参数!$C$92=1,O9,0)</f>
        <v>0</v>
      </c>
      <c r="P17" s="20" t="n">
        <f aca="false">IF(0_参数!$C$92=1,P9,0)</f>
        <v>0</v>
      </c>
      <c r="Q17" s="20" t="n">
        <f aca="false">IF(0_参数!$C$92=1,Q9,0)</f>
        <v>0</v>
      </c>
      <c r="R17" s="20" t="n">
        <f aca="false">IF(0_参数!$C$92=1,R9,0)</f>
        <v>0</v>
      </c>
      <c r="S17" s="20" t="n">
        <f aca="false">IF(0_参数!$C$92=1,S9,0)</f>
        <v>0</v>
      </c>
      <c r="T17" s="20" t="n">
        <f aca="false">IF(0_参数!$C$92=1,T9,0)</f>
        <v>0</v>
      </c>
      <c r="U17" s="20" t="n">
        <f aca="false">IF(0_参数!$C$92=1,U9,0)</f>
        <v>0</v>
      </c>
      <c r="V17" s="46" t="n">
        <f aca="false">SUM(D17:U17)</f>
        <v>1536.255090915</v>
      </c>
    </row>
    <row r="18" customFormat="false" ht="15" hidden="false" customHeight="false" outlineLevel="0" collapsed="false">
      <c r="A18" s="13" t="s">
        <v>648</v>
      </c>
      <c r="B18" s="14" t="s">
        <v>649</v>
      </c>
      <c r="C18" s="14" t="s">
        <v>95</v>
      </c>
      <c r="D18" s="20" t="n">
        <f aca="false">2_流动资金!D$17</f>
        <v>0</v>
      </c>
      <c r="E18" s="20" t="n">
        <f aca="false">2_流动资金!E$17</f>
        <v>1212.29830188679</v>
      </c>
      <c r="F18" s="20" t="n">
        <f aca="false">2_流动资金!F$17</f>
        <v>155.320754716981</v>
      </c>
      <c r="G18" s="20" t="n">
        <f aca="false">2_流动资金!G$17</f>
        <v>0</v>
      </c>
      <c r="H18" s="20" t="n">
        <f aca="false">2_流动资金!H$17</f>
        <v>0</v>
      </c>
      <c r="I18" s="20" t="n">
        <f aca="false">2_流动资金!I$17</f>
        <v>0</v>
      </c>
      <c r="J18" s="20" t="n">
        <f aca="false">2_流动资金!J$17</f>
        <v>0</v>
      </c>
      <c r="K18" s="20" t="n">
        <f aca="false">2_流动资金!K$17</f>
        <v>0</v>
      </c>
      <c r="L18" s="20" t="n">
        <f aca="false">2_流动资金!L$17</f>
        <v>0</v>
      </c>
      <c r="M18" s="20" t="n">
        <f aca="false">2_流动资金!M$17</f>
        <v>0</v>
      </c>
      <c r="N18" s="20" t="n">
        <f aca="false">2_流动资金!N$17</f>
        <v>0</v>
      </c>
      <c r="O18" s="20" t="n">
        <f aca="false">2_流动资金!O$17</f>
        <v>0</v>
      </c>
      <c r="P18" s="20" t="n">
        <f aca="false">2_流动资金!P$17</f>
        <v>0</v>
      </c>
      <c r="Q18" s="20" t="n">
        <f aca="false">2_流动资金!Q$17</f>
        <v>0</v>
      </c>
      <c r="R18" s="20" t="n">
        <f aca="false">2_流动资金!R$17</f>
        <v>0</v>
      </c>
      <c r="S18" s="20" t="n">
        <f aca="false">2_流动资金!S$17</f>
        <v>0</v>
      </c>
      <c r="T18" s="20" t="n">
        <f aca="false">2_流动资金!T$17</f>
        <v>0</v>
      </c>
      <c r="U18" s="20" t="n">
        <f aca="false">2_流动资金!U$17</f>
        <v>0</v>
      </c>
      <c r="V18" s="46" t="n">
        <f aca="false">SUM(D18:U18)</f>
        <v>1367.61905660377</v>
      </c>
    </row>
    <row r="19" customFormat="false" ht="15" hidden="false" customHeight="false" outlineLevel="0" collapsed="false">
      <c r="A19" s="13" t="s">
        <v>61</v>
      </c>
      <c r="B19" s="54" t="s">
        <v>650</v>
      </c>
      <c r="C19" s="14" t="s">
        <v>95</v>
      </c>
      <c r="D19" s="55" t="n">
        <f aca="false">D16+D17+D18</f>
        <v>103953.261151915</v>
      </c>
      <c r="E19" s="55" t="n">
        <f aca="false">E16+E17+E18</f>
        <v>1212.29830188679</v>
      </c>
      <c r="F19" s="55" t="n">
        <f aca="false">F16+F17+F18</f>
        <v>155.320754716981</v>
      </c>
      <c r="G19" s="55" t="n">
        <f aca="false">G16+G17+G18</f>
        <v>0</v>
      </c>
      <c r="H19" s="55" t="n">
        <f aca="false">H16+H17+H18</f>
        <v>0</v>
      </c>
      <c r="I19" s="55" t="n">
        <f aca="false">I16+I17+I18</f>
        <v>0</v>
      </c>
      <c r="J19" s="55" t="n">
        <f aca="false">J16+J17+J18</f>
        <v>0</v>
      </c>
      <c r="K19" s="55" t="n">
        <f aca="false">K16+K17+K18</f>
        <v>0</v>
      </c>
      <c r="L19" s="55" t="n">
        <f aca="false">L16+L17+L18</f>
        <v>0</v>
      </c>
      <c r="M19" s="55" t="n">
        <f aca="false">M16+M17+M18</f>
        <v>0</v>
      </c>
      <c r="N19" s="55" t="n">
        <f aca="false">N16+N17+N18</f>
        <v>0</v>
      </c>
      <c r="O19" s="55" t="n">
        <f aca="false">O16+O17+O18</f>
        <v>0</v>
      </c>
      <c r="P19" s="55" t="n">
        <f aca="false">P16+P17+P18</f>
        <v>0</v>
      </c>
      <c r="Q19" s="55" t="n">
        <f aca="false">Q16+Q17+Q18</f>
        <v>0</v>
      </c>
      <c r="R19" s="55" t="n">
        <f aca="false">R16+R17+R18</f>
        <v>0</v>
      </c>
      <c r="S19" s="55" t="n">
        <f aca="false">S16+S17+S18</f>
        <v>0</v>
      </c>
      <c r="T19" s="55" t="n">
        <f aca="false">T16+T17+T18</f>
        <v>0</v>
      </c>
      <c r="U19" s="55" t="n">
        <f aca="false">U16+U17+U18</f>
        <v>0</v>
      </c>
      <c r="V19" s="55" t="n">
        <f aca="false">SUM(D19:U19)</f>
        <v>105320.880208519</v>
      </c>
    </row>
    <row r="20" customFormat="false" ht="15" hidden="false" customHeight="false" outlineLevel="0" collapsed="false">
      <c r="A20" s="66" t="s">
        <v>56</v>
      </c>
      <c r="B20" s="50" t="s">
        <v>651</v>
      </c>
      <c r="C20" s="49" t="s">
        <v>95</v>
      </c>
      <c r="D20" s="51" t="n">
        <f aca="false">D15+D19</f>
        <v>123953.261151915</v>
      </c>
      <c r="E20" s="51" t="n">
        <f aca="false">E15+E19</f>
        <v>1731.85471698113</v>
      </c>
      <c r="F20" s="51" t="n">
        <f aca="false">F15+F19</f>
        <v>221.88679245283</v>
      </c>
      <c r="G20" s="51" t="n">
        <f aca="false">G15+G19</f>
        <v>0</v>
      </c>
      <c r="H20" s="51" t="n">
        <f aca="false">H15+H19</f>
        <v>0</v>
      </c>
      <c r="I20" s="51" t="n">
        <f aca="false">I15+I19</f>
        <v>0</v>
      </c>
      <c r="J20" s="51" t="n">
        <f aca="false">J15+J19</f>
        <v>0</v>
      </c>
      <c r="K20" s="51" t="n">
        <f aca="false">K15+K19</f>
        <v>0</v>
      </c>
      <c r="L20" s="51" t="n">
        <f aca="false">L15+L19</f>
        <v>0</v>
      </c>
      <c r="M20" s="51" t="n">
        <f aca="false">M15+M19</f>
        <v>0</v>
      </c>
      <c r="N20" s="51" t="n">
        <f aca="false">N15+N19</f>
        <v>0</v>
      </c>
      <c r="O20" s="51" t="n">
        <f aca="false">O15+O19</f>
        <v>0</v>
      </c>
      <c r="P20" s="51" t="n">
        <f aca="false">P15+P19</f>
        <v>0</v>
      </c>
      <c r="Q20" s="51" t="n">
        <f aca="false">Q15+Q19</f>
        <v>0</v>
      </c>
      <c r="R20" s="51" t="n">
        <f aca="false">R15+R19</f>
        <v>0</v>
      </c>
      <c r="S20" s="51" t="n">
        <f aca="false">S15+S19</f>
        <v>0</v>
      </c>
      <c r="T20" s="51" t="n">
        <f aca="false">T15+T19</f>
        <v>0</v>
      </c>
      <c r="U20" s="51" t="n">
        <f aca="false">U15+U19</f>
        <v>0</v>
      </c>
      <c r="V20" s="51" t="n">
        <f aca="false">SUM(D20:U20)</f>
        <v>125907.002661349</v>
      </c>
    </row>
    <row r="21" customFormat="false" ht="15" hidden="false" customHeight="false" outlineLevel="0" collapsed="false">
      <c r="A21" s="14"/>
      <c r="B21" s="14" t="s">
        <v>652</v>
      </c>
      <c r="C21" s="14" t="s">
        <v>95</v>
      </c>
      <c r="D21" s="46" t="n">
        <f aca="false">D20-D11</f>
        <v>0</v>
      </c>
      <c r="E21" s="46" t="n">
        <f aca="false">E20-E11</f>
        <v>0</v>
      </c>
      <c r="F21" s="46" t="n">
        <f aca="false">F20-F11</f>
        <v>0</v>
      </c>
      <c r="G21" s="46" t="n">
        <f aca="false">G20-G11</f>
        <v>0</v>
      </c>
      <c r="H21" s="46" t="n">
        <f aca="false">H20-H11</f>
        <v>0</v>
      </c>
      <c r="I21" s="46" t="n">
        <f aca="false">I20-I11</f>
        <v>0</v>
      </c>
      <c r="J21" s="46" t="n">
        <f aca="false">J20-J11</f>
        <v>0</v>
      </c>
      <c r="K21" s="46" t="n">
        <f aca="false">K20-K11</f>
        <v>0</v>
      </c>
      <c r="L21" s="46" t="n">
        <f aca="false">L20-L11</f>
        <v>0</v>
      </c>
      <c r="M21" s="46" t="n">
        <f aca="false">M20-M11</f>
        <v>0</v>
      </c>
      <c r="N21" s="46" t="n">
        <f aca="false">N20-N11</f>
        <v>0</v>
      </c>
      <c r="O21" s="46" t="n">
        <f aca="false">O20-O11</f>
        <v>0</v>
      </c>
      <c r="P21" s="46" t="n">
        <f aca="false">P20-P11</f>
        <v>0</v>
      </c>
      <c r="Q21" s="46" t="n">
        <f aca="false">Q20-Q11</f>
        <v>0</v>
      </c>
      <c r="R21" s="46" t="n">
        <f aca="false">R20-R11</f>
        <v>0</v>
      </c>
      <c r="S21" s="46" t="n">
        <f aca="false">S20-S11</f>
        <v>0</v>
      </c>
      <c r="T21" s="46" t="n">
        <f aca="false">T20-T11</f>
        <v>0</v>
      </c>
      <c r="U21" s="46" t="n">
        <f aca="false">U20-U11</f>
        <v>0</v>
      </c>
      <c r="V21" s="46" t="n">
        <f aca="false">SUM(D21:U21)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21" min="4" style="0" width="11"/>
    <col collapsed="false" customWidth="true" hidden="false" outlineLevel="0" max="22" min="22" style="0" width="13"/>
  </cols>
  <sheetData>
    <row r="1" customFormat="false" ht="21.6" hidden="false" customHeight="false" outlineLevel="0" collapsed="false">
      <c r="A1" s="6" t="s">
        <v>653</v>
      </c>
    </row>
    <row r="2" customFormat="false" ht="15" hidden="false" customHeight="false" outlineLevel="0" collapsed="false">
      <c r="A2" s="7" t="s">
        <v>654</v>
      </c>
    </row>
    <row r="3" customFormat="false" ht="15" hidden="false" customHeight="false" outlineLevel="0" collapsed="false">
      <c r="A3" s="27" t="s">
        <v>25</v>
      </c>
      <c r="B3" s="27" t="s">
        <v>611</v>
      </c>
      <c r="C3" s="27" t="s">
        <v>612</v>
      </c>
      <c r="D3" s="61" t="n">
        <v>1</v>
      </c>
      <c r="E3" s="61" t="n">
        <f aca="false">D3+1</f>
        <v>2</v>
      </c>
      <c r="F3" s="61" t="n">
        <f aca="false">E3+1</f>
        <v>3</v>
      </c>
      <c r="G3" s="61" t="n">
        <f aca="false">F3+1</f>
        <v>4</v>
      </c>
      <c r="H3" s="61" t="n">
        <f aca="false">G3+1</f>
        <v>5</v>
      </c>
      <c r="I3" s="61" t="n">
        <f aca="false">H3+1</f>
        <v>6</v>
      </c>
      <c r="J3" s="61" t="n">
        <f aca="false">I3+1</f>
        <v>7</v>
      </c>
      <c r="K3" s="61" t="n">
        <f aca="false">J3+1</f>
        <v>8</v>
      </c>
      <c r="L3" s="61" t="n">
        <f aca="false">K3+1</f>
        <v>9</v>
      </c>
      <c r="M3" s="61" t="n">
        <f aca="false">L3+1</f>
        <v>10</v>
      </c>
      <c r="N3" s="61" t="n">
        <f aca="false">M3+1</f>
        <v>11</v>
      </c>
      <c r="O3" s="61" t="n">
        <f aca="false">N3+1</f>
        <v>12</v>
      </c>
      <c r="P3" s="61" t="n">
        <f aca="false">O3+1</f>
        <v>13</v>
      </c>
      <c r="Q3" s="61" t="n">
        <f aca="false">P3+1</f>
        <v>14</v>
      </c>
      <c r="R3" s="61" t="n">
        <f aca="false">Q3+1</f>
        <v>15</v>
      </c>
      <c r="S3" s="61" t="n">
        <f aca="false">R3+1</f>
        <v>16</v>
      </c>
      <c r="T3" s="61" t="n">
        <f aca="false">S3+1</f>
        <v>17</v>
      </c>
      <c r="U3" s="61" t="n">
        <f aca="false">T3+1</f>
        <v>18</v>
      </c>
      <c r="V3" s="8" t="s">
        <v>613</v>
      </c>
    </row>
    <row r="4" customFormat="false" ht="15" hidden="false" customHeight="false" outlineLevel="0" collapsed="false">
      <c r="A4" s="62"/>
      <c r="B4" s="27" t="s">
        <v>614</v>
      </c>
      <c r="C4" s="62"/>
      <c r="D4" s="63" t="str">
        <f aca="false">IF(D$3&lt;=0_参数!$C$9,"建设",IF(D$3&lt;=0_参数!$C$9+0_参数!$C$10,"运营",""))</f>
        <v>建设</v>
      </c>
      <c r="E4" s="63" t="str">
        <f aca="false">IF(E$3&lt;=0_参数!$C$9,"建设",IF(E$3&lt;=0_参数!$C$9+0_参数!$C$10,"运营",""))</f>
        <v>运营</v>
      </c>
      <c r="F4" s="63" t="str">
        <f aca="false">IF(F$3&lt;=0_参数!$C$9,"建设",IF(F$3&lt;=0_参数!$C$9+0_参数!$C$10,"运营",""))</f>
        <v>运营</v>
      </c>
      <c r="G4" s="63" t="str">
        <f aca="false">IF(G$3&lt;=0_参数!$C$9,"建设",IF(G$3&lt;=0_参数!$C$9+0_参数!$C$10,"运营",""))</f>
        <v>运营</v>
      </c>
      <c r="H4" s="63" t="str">
        <f aca="false">IF(H$3&lt;=0_参数!$C$9,"建设",IF(H$3&lt;=0_参数!$C$9+0_参数!$C$10,"运营",""))</f>
        <v>运营</v>
      </c>
      <c r="I4" s="63" t="str">
        <f aca="false">IF(I$3&lt;=0_参数!$C$9,"建设",IF(I$3&lt;=0_参数!$C$9+0_参数!$C$10,"运营",""))</f>
        <v>运营</v>
      </c>
      <c r="J4" s="63" t="str">
        <f aca="false">IF(J$3&lt;=0_参数!$C$9,"建设",IF(J$3&lt;=0_参数!$C$9+0_参数!$C$10,"运营",""))</f>
        <v>运营</v>
      </c>
      <c r="K4" s="63" t="str">
        <f aca="false">IF(K$3&lt;=0_参数!$C$9,"建设",IF(K$3&lt;=0_参数!$C$9+0_参数!$C$10,"运营",""))</f>
        <v>运营</v>
      </c>
      <c r="L4" s="63" t="str">
        <f aca="false">IF(L$3&lt;=0_参数!$C$9,"建设",IF(L$3&lt;=0_参数!$C$9+0_参数!$C$10,"运营",""))</f>
        <v>运营</v>
      </c>
      <c r="M4" s="63" t="str">
        <f aca="false">IF(M$3&lt;=0_参数!$C$9,"建设",IF(M$3&lt;=0_参数!$C$9+0_参数!$C$10,"运营",""))</f>
        <v>运营</v>
      </c>
      <c r="N4" s="63" t="str">
        <f aca="false">IF(N$3&lt;=0_参数!$C$9,"建设",IF(N$3&lt;=0_参数!$C$9+0_参数!$C$10,"运营",""))</f>
        <v>运营</v>
      </c>
      <c r="O4" s="63" t="str">
        <f aca="false">IF(O$3&lt;=0_参数!$C$9,"建设",IF(O$3&lt;=0_参数!$C$9+0_参数!$C$10,"运营",""))</f>
        <v/>
      </c>
      <c r="P4" s="63" t="str">
        <f aca="false">IF(P$3&lt;=0_参数!$C$9,"建设",IF(P$3&lt;=0_参数!$C$9+0_参数!$C$10,"运营",""))</f>
        <v/>
      </c>
      <c r="Q4" s="63" t="str">
        <f aca="false">IF(Q$3&lt;=0_参数!$C$9,"建设",IF(Q$3&lt;=0_参数!$C$9+0_参数!$C$10,"运营",""))</f>
        <v/>
      </c>
      <c r="R4" s="63" t="str">
        <f aca="false">IF(R$3&lt;=0_参数!$C$9,"建设",IF(R$3&lt;=0_参数!$C$9+0_参数!$C$10,"运营",""))</f>
        <v/>
      </c>
      <c r="S4" s="63" t="str">
        <f aca="false">IF(S$3&lt;=0_参数!$C$9,"建设",IF(S$3&lt;=0_参数!$C$9+0_参数!$C$10,"运营",""))</f>
        <v/>
      </c>
      <c r="T4" s="63" t="str">
        <f aca="false">IF(T$3&lt;=0_参数!$C$9,"建设",IF(T$3&lt;=0_参数!$C$9+0_参数!$C$10,"运营",""))</f>
        <v/>
      </c>
      <c r="U4" s="63" t="str">
        <f aca="false">IF(U$3&lt;=0_参数!$C$9,"建设",IF(U$3&lt;=0_参数!$C$9+0_参数!$C$10,"运营",""))</f>
        <v/>
      </c>
      <c r="V4" s="62"/>
    </row>
    <row r="5" customFormat="false" ht="15" hidden="false" customHeight="false" outlineLevel="0" collapsed="false">
      <c r="A5" s="62"/>
      <c r="B5" s="27" t="s">
        <v>615</v>
      </c>
      <c r="C5" s="62"/>
      <c r="D5" s="64" t="n">
        <f aca="false">IF(D$4="运营",D$3-0_参数!$C$9,0)</f>
        <v>0</v>
      </c>
      <c r="E5" s="64" t="n">
        <f aca="false">IF(E$4="运营",E$3-0_参数!$C$9,0)</f>
        <v>1</v>
      </c>
      <c r="F5" s="64" t="n">
        <f aca="false">IF(F$4="运营",F$3-0_参数!$C$9,0)</f>
        <v>2</v>
      </c>
      <c r="G5" s="64" t="n">
        <f aca="false">IF(G$4="运营",G$3-0_参数!$C$9,0)</f>
        <v>3</v>
      </c>
      <c r="H5" s="64" t="n">
        <f aca="false">IF(H$4="运营",H$3-0_参数!$C$9,0)</f>
        <v>4</v>
      </c>
      <c r="I5" s="64" t="n">
        <f aca="false">IF(I$4="运营",I$3-0_参数!$C$9,0)</f>
        <v>5</v>
      </c>
      <c r="J5" s="64" t="n">
        <f aca="false">IF(J$4="运营",J$3-0_参数!$C$9,0)</f>
        <v>6</v>
      </c>
      <c r="K5" s="64" t="n">
        <f aca="false">IF(K$4="运营",K$3-0_参数!$C$9,0)</f>
        <v>7</v>
      </c>
      <c r="L5" s="64" t="n">
        <f aca="false">IF(L$4="运营",L$3-0_参数!$C$9,0)</f>
        <v>8</v>
      </c>
      <c r="M5" s="64" t="n">
        <f aca="false">IF(M$4="运营",M$3-0_参数!$C$9,0)</f>
        <v>9</v>
      </c>
      <c r="N5" s="64" t="n">
        <f aca="false">IF(N$4="运营",N$3-0_参数!$C$9,0)</f>
        <v>10</v>
      </c>
      <c r="O5" s="64" t="n">
        <f aca="false">IF(O$4="运营",O$3-0_参数!$C$9,0)</f>
        <v>0</v>
      </c>
      <c r="P5" s="64" t="n">
        <f aca="false">IF(P$4="运营",P$3-0_参数!$C$9,0)</f>
        <v>0</v>
      </c>
      <c r="Q5" s="64" t="n">
        <f aca="false">IF(Q$4="运营",Q$3-0_参数!$C$9,0)</f>
        <v>0</v>
      </c>
      <c r="R5" s="64" t="n">
        <f aca="false">IF(R$4="运营",R$3-0_参数!$C$9,0)</f>
        <v>0</v>
      </c>
      <c r="S5" s="64" t="n">
        <f aca="false">IF(S$4="运营",S$3-0_参数!$C$9,0)</f>
        <v>0</v>
      </c>
      <c r="T5" s="64" t="n">
        <f aca="false">IF(T$4="运营",T$3-0_参数!$C$9,0)</f>
        <v>0</v>
      </c>
      <c r="U5" s="64" t="n">
        <f aca="false">IF(U$4="运营",U$3-0_参数!$C$9,0)</f>
        <v>0</v>
      </c>
      <c r="V5" s="62"/>
    </row>
    <row r="6" customFormat="false" ht="15" hidden="false" customHeight="false" outlineLevel="0" collapsed="false">
      <c r="A6" s="62"/>
      <c r="B6" s="27" t="s">
        <v>616</v>
      </c>
      <c r="C6" s="62"/>
      <c r="D6" s="65" t="n">
        <f aca="false">IF(D$4="建设",D$3,0)</f>
        <v>1</v>
      </c>
      <c r="E6" s="65" t="n">
        <f aca="false">IF(E$4="建设",E$3,0)</f>
        <v>0</v>
      </c>
      <c r="F6" s="65" t="n">
        <f aca="false">IF(F$4="建设",F$3,0)</f>
        <v>0</v>
      </c>
      <c r="G6" s="65" t="n">
        <f aca="false">IF(G$4="建设",G$3,0)</f>
        <v>0</v>
      </c>
      <c r="H6" s="65" t="n">
        <f aca="false">IF(H$4="建设",H$3,0)</f>
        <v>0</v>
      </c>
      <c r="I6" s="65" t="n">
        <f aca="false">IF(I$4="建设",I$3,0)</f>
        <v>0</v>
      </c>
      <c r="J6" s="65" t="n">
        <f aca="false">IF(J$4="建设",J$3,0)</f>
        <v>0</v>
      </c>
      <c r="K6" s="65" t="n">
        <f aca="false">IF(K$4="建设",K$3,0)</f>
        <v>0</v>
      </c>
      <c r="L6" s="65" t="n">
        <f aca="false">IF(L$4="建设",L$3,0)</f>
        <v>0</v>
      </c>
      <c r="M6" s="65" t="n">
        <f aca="false">IF(M$4="建设",M$3,0)</f>
        <v>0</v>
      </c>
      <c r="N6" s="65" t="n">
        <f aca="false">IF(N$4="建设",N$3,0)</f>
        <v>0</v>
      </c>
      <c r="O6" s="65" t="n">
        <f aca="false">IF(O$4="建设",O$3,0)</f>
        <v>0</v>
      </c>
      <c r="P6" s="65" t="n">
        <f aca="false">IF(P$4="建设",P$3,0)</f>
        <v>0</v>
      </c>
      <c r="Q6" s="65" t="n">
        <f aca="false">IF(Q$4="建设",Q$3,0)</f>
        <v>0</v>
      </c>
      <c r="R6" s="65" t="n">
        <f aca="false">IF(R$4="建设",R$3,0)</f>
        <v>0</v>
      </c>
      <c r="S6" s="65" t="n">
        <f aca="false">IF(S$4="建设",S$3,0)</f>
        <v>0</v>
      </c>
      <c r="T6" s="65" t="n">
        <f aca="false">IF(T$4="建设",T$3,0)</f>
        <v>0</v>
      </c>
      <c r="U6" s="65" t="n">
        <f aca="false">IF(U$4="建设",U$3,0)</f>
        <v>0</v>
      </c>
      <c r="V6" s="62"/>
    </row>
    <row r="7" customFormat="false" ht="15" hidden="false" customHeight="false" outlineLevel="0" collapsed="false">
      <c r="A7" s="14"/>
      <c r="B7" s="14" t="s">
        <v>655</v>
      </c>
      <c r="C7" s="14"/>
      <c r="D7" s="68" t="n">
        <f aca="false">IF(D$5&gt;0,INDEX(0_参数!$D$126:$R$126,D$5),0)</f>
        <v>0</v>
      </c>
      <c r="E7" s="68" t="n">
        <f aca="false">IF(E$5&gt;0,INDEX(0_参数!$D$126:$R$126,E$5),0)</f>
        <v>1</v>
      </c>
      <c r="F7" s="68" t="n">
        <f aca="false">IF(F$5&gt;0,INDEX(0_参数!$D$126:$R$126,F$5),0)</f>
        <v>1</v>
      </c>
      <c r="G7" s="68" t="n">
        <f aca="false">IF(G$5&gt;0,INDEX(0_参数!$D$126:$R$126,G$5),0)</f>
        <v>1</v>
      </c>
      <c r="H7" s="68" t="n">
        <f aca="false">IF(H$5&gt;0,INDEX(0_参数!$D$126:$R$126,H$5),0)</f>
        <v>1</v>
      </c>
      <c r="I7" s="68" t="n">
        <f aca="false">IF(I$5&gt;0,INDEX(0_参数!$D$126:$R$126,I$5),0)</f>
        <v>1</v>
      </c>
      <c r="J7" s="68" t="n">
        <f aca="false">IF(J$5&gt;0,INDEX(0_参数!$D$126:$R$126,J$5),0)</f>
        <v>1</v>
      </c>
      <c r="K7" s="68" t="n">
        <f aca="false">IF(K$5&gt;0,INDEX(0_参数!$D$126:$R$126,K$5),0)</f>
        <v>1</v>
      </c>
      <c r="L7" s="68" t="n">
        <f aca="false">IF(L$5&gt;0,INDEX(0_参数!$D$126:$R$126,L$5),0)</f>
        <v>1</v>
      </c>
      <c r="M7" s="68" t="n">
        <f aca="false">IF(M$5&gt;0,INDEX(0_参数!$D$126:$R$126,M$5),0)</f>
        <v>1</v>
      </c>
      <c r="N7" s="68" t="n">
        <f aca="false">IF(N$5&gt;0,INDEX(0_参数!$D$126:$R$126,N$5),0)</f>
        <v>1</v>
      </c>
      <c r="O7" s="68" t="n">
        <f aca="false">IF(O$5&gt;0,INDEX(0_参数!$D$126:$R$126,O$5),0)</f>
        <v>0</v>
      </c>
      <c r="P7" s="68" t="n">
        <f aca="false">IF(P$5&gt;0,INDEX(0_参数!$D$126:$R$126,P$5),0)</f>
        <v>0</v>
      </c>
      <c r="Q7" s="68" t="n">
        <f aca="false">IF(Q$5&gt;0,INDEX(0_参数!$D$126:$R$126,Q$5),0)</f>
        <v>0</v>
      </c>
      <c r="R7" s="68" t="n">
        <f aca="false">IF(R$5&gt;0,INDEX(0_参数!$D$126:$R$126,R$5),0)</f>
        <v>0</v>
      </c>
      <c r="S7" s="68" t="n">
        <f aca="false">IF(S$5&gt;0,INDEX(0_参数!$D$126:$R$126,S$5),0)</f>
        <v>0</v>
      </c>
      <c r="T7" s="68" t="n">
        <f aca="false">IF(T$5&gt;0,INDEX(0_参数!$D$126:$R$126,T$5),0)</f>
        <v>0</v>
      </c>
      <c r="U7" s="68" t="n">
        <f aca="false">IF(U$5&gt;0,INDEX(0_参数!$D$126:$R$126,U$5),0)</f>
        <v>0</v>
      </c>
      <c r="V7" s="14"/>
    </row>
    <row r="8" customFormat="false" ht="15" hidden="false" customHeight="false" outlineLevel="0" collapsed="false">
      <c r="A8" s="14"/>
      <c r="B8" s="14" t="s">
        <v>656</v>
      </c>
      <c r="C8" s="14"/>
      <c r="D8" s="68" t="n">
        <f aca="false">MIN(1,IF(D$5&gt;0,INDEX(0_参数!$D$127:$R$127,D$5),0)*0_参数!$C$48)</f>
        <v>0</v>
      </c>
      <c r="E8" s="68" t="n">
        <f aca="false">MIN(1,IF(E$5&gt;0,INDEX(0_参数!$D$127:$R$127,E$5),0)*0_参数!$C$48)</f>
        <v>0.8</v>
      </c>
      <c r="F8" s="68" t="n">
        <f aca="false">MIN(1,IF(F$5&gt;0,INDEX(0_参数!$D$127:$R$127,F$5),0)*0_参数!$C$48)</f>
        <v>0.9</v>
      </c>
      <c r="G8" s="68" t="n">
        <f aca="false">MIN(1,IF(G$5&gt;0,INDEX(0_参数!$D$127:$R$127,G$5),0)*0_参数!$C$48)</f>
        <v>0.9</v>
      </c>
      <c r="H8" s="68" t="n">
        <f aca="false">MIN(1,IF(H$5&gt;0,INDEX(0_参数!$D$127:$R$127,H$5),0)*0_参数!$C$48)</f>
        <v>0.9</v>
      </c>
      <c r="I8" s="68" t="n">
        <f aca="false">MIN(1,IF(I$5&gt;0,INDEX(0_参数!$D$127:$R$127,I$5),0)*0_参数!$C$48)</f>
        <v>0.9</v>
      </c>
      <c r="J8" s="68" t="n">
        <f aca="false">MIN(1,IF(J$5&gt;0,INDEX(0_参数!$D$127:$R$127,J$5),0)*0_参数!$C$48)</f>
        <v>0.9</v>
      </c>
      <c r="K8" s="68" t="n">
        <f aca="false">MIN(1,IF(K$5&gt;0,INDEX(0_参数!$D$127:$R$127,K$5),0)*0_参数!$C$48)</f>
        <v>0.9</v>
      </c>
      <c r="L8" s="68" t="n">
        <f aca="false">MIN(1,IF(L$5&gt;0,INDEX(0_参数!$D$127:$R$127,L$5),0)*0_参数!$C$48)</f>
        <v>0.9</v>
      </c>
      <c r="M8" s="68" t="n">
        <f aca="false">MIN(1,IF(M$5&gt;0,INDEX(0_参数!$D$127:$R$127,M$5),0)*0_参数!$C$48)</f>
        <v>0.9</v>
      </c>
      <c r="N8" s="68" t="n">
        <f aca="false">MIN(1,IF(N$5&gt;0,INDEX(0_参数!$D$127:$R$127,N$5),0)*0_参数!$C$48)</f>
        <v>0.9</v>
      </c>
      <c r="O8" s="68" t="n">
        <f aca="false">MIN(1,IF(O$5&gt;0,INDEX(0_参数!$D$127:$R$127,O$5),0)*0_参数!$C$48)</f>
        <v>0</v>
      </c>
      <c r="P8" s="68" t="n">
        <f aca="false">MIN(1,IF(P$5&gt;0,INDEX(0_参数!$D$127:$R$127,P$5),0)*0_参数!$C$48)</f>
        <v>0</v>
      </c>
      <c r="Q8" s="68" t="n">
        <f aca="false">MIN(1,IF(Q$5&gt;0,INDEX(0_参数!$D$127:$R$127,Q$5),0)*0_参数!$C$48)</f>
        <v>0</v>
      </c>
      <c r="R8" s="68" t="n">
        <f aca="false">MIN(1,IF(R$5&gt;0,INDEX(0_参数!$D$127:$R$127,R$5),0)*0_参数!$C$48)</f>
        <v>0</v>
      </c>
      <c r="S8" s="68" t="n">
        <f aca="false">MIN(1,IF(S$5&gt;0,INDEX(0_参数!$D$127:$R$127,S$5),0)*0_参数!$C$48)</f>
        <v>0</v>
      </c>
      <c r="T8" s="68" t="n">
        <f aca="false">MIN(1,IF(T$5&gt;0,INDEX(0_参数!$D$127:$R$127,T$5),0)*0_参数!$C$48)</f>
        <v>0</v>
      </c>
      <c r="U8" s="68" t="n">
        <f aca="false">MIN(1,IF(U$5&gt;0,INDEX(0_参数!$D$127:$R$127,U$5),0)*0_参数!$C$48)</f>
        <v>0</v>
      </c>
      <c r="V8" s="14"/>
    </row>
    <row r="9" customFormat="false" ht="15" hidden="false" customHeight="false" outlineLevel="0" collapsed="false">
      <c r="A9" s="14"/>
      <c r="B9" s="13" t="s">
        <v>464</v>
      </c>
      <c r="C9" s="14"/>
      <c r="D9" s="68" t="n">
        <f aca="false">IF(D$5&gt;0,INDEX(0_参数!$D$128:$R$128,D$5),0)</f>
        <v>0</v>
      </c>
      <c r="E9" s="68" t="n">
        <f aca="false">IF(E$5&gt;0,INDEX(0_参数!$D$128:$R$128,E$5),0)</f>
        <v>0.9</v>
      </c>
      <c r="F9" s="68" t="n">
        <f aca="false">IF(F$5&gt;0,INDEX(0_参数!$D$128:$R$128,F$5),0)</f>
        <v>0.9</v>
      </c>
      <c r="G9" s="68" t="n">
        <f aca="false">IF(G$5&gt;0,INDEX(0_参数!$D$128:$R$128,G$5),0)</f>
        <v>0.9</v>
      </c>
      <c r="H9" s="68" t="n">
        <f aca="false">IF(H$5&gt;0,INDEX(0_参数!$D$128:$R$128,H$5),0)</f>
        <v>0.9</v>
      </c>
      <c r="I9" s="68" t="n">
        <f aca="false">IF(I$5&gt;0,INDEX(0_参数!$D$128:$R$128,I$5),0)</f>
        <v>0.9</v>
      </c>
      <c r="J9" s="68" t="n">
        <f aca="false">IF(J$5&gt;0,INDEX(0_参数!$D$128:$R$128,J$5),0)</f>
        <v>0.9</v>
      </c>
      <c r="K9" s="68" t="n">
        <f aca="false">IF(K$5&gt;0,INDEX(0_参数!$D$128:$R$128,K$5),0)</f>
        <v>0.9</v>
      </c>
      <c r="L9" s="68" t="n">
        <f aca="false">IF(L$5&gt;0,INDEX(0_参数!$D$128:$R$128,L$5),0)</f>
        <v>0.9</v>
      </c>
      <c r="M9" s="68" t="n">
        <f aca="false">IF(M$5&gt;0,INDEX(0_参数!$D$128:$R$128,M$5),0)</f>
        <v>0.9</v>
      </c>
      <c r="N9" s="68" t="n">
        <f aca="false">IF(N$5&gt;0,INDEX(0_参数!$D$128:$R$128,N$5),0)</f>
        <v>0.9</v>
      </c>
      <c r="O9" s="68" t="n">
        <f aca="false">IF(O$5&gt;0,INDEX(0_参数!$D$128:$R$128,O$5),0)</f>
        <v>0</v>
      </c>
      <c r="P9" s="68" t="n">
        <f aca="false">IF(P$5&gt;0,INDEX(0_参数!$D$128:$R$128,P$5),0)</f>
        <v>0</v>
      </c>
      <c r="Q9" s="68" t="n">
        <f aca="false">IF(Q$5&gt;0,INDEX(0_参数!$D$128:$R$128,Q$5),0)</f>
        <v>0</v>
      </c>
      <c r="R9" s="68" t="n">
        <f aca="false">IF(R$5&gt;0,INDEX(0_参数!$D$128:$R$128,R$5),0)</f>
        <v>0</v>
      </c>
      <c r="S9" s="68" t="n">
        <f aca="false">IF(S$5&gt;0,INDEX(0_参数!$D$128:$R$128,S$5),0)</f>
        <v>0</v>
      </c>
      <c r="T9" s="68" t="n">
        <f aca="false">IF(T$5&gt;0,INDEX(0_参数!$D$128:$R$128,T$5),0)</f>
        <v>0</v>
      </c>
      <c r="U9" s="68" t="n">
        <f aca="false">IF(U$5&gt;0,INDEX(0_参数!$D$128:$R$128,U$5),0)</f>
        <v>0</v>
      </c>
      <c r="V9" s="14"/>
    </row>
    <row r="10" customFormat="false" ht="15" hidden="false" customHeight="false" outlineLevel="0" collapsed="false">
      <c r="A10" s="14"/>
      <c r="B10" s="13" t="s">
        <v>657</v>
      </c>
      <c r="C10" s="14" t="s">
        <v>63</v>
      </c>
      <c r="D10" s="20" t="n">
        <f aca="false">IF(D$4="运营",0_参数!$C$20*D7*D8*D9*0_参数!$C$36/10000,0)</f>
        <v>0</v>
      </c>
      <c r="E10" s="20" t="n">
        <f aca="false">IF(E$4="运营",0_参数!$C$20*E7*E8*E9*0_参数!$C$36/10000,0)</f>
        <v>1332.08064</v>
      </c>
      <c r="F10" s="20" t="n">
        <f aca="false">IF(F$4="运营",0_参数!$C$20*F7*F8*F9*0_参数!$C$36/10000,0)</f>
        <v>1498.59072</v>
      </c>
      <c r="G10" s="20" t="n">
        <f aca="false">IF(G$4="运营",0_参数!$C$20*G7*G8*G9*0_参数!$C$36/10000,0)</f>
        <v>1498.59072</v>
      </c>
      <c r="H10" s="20" t="n">
        <f aca="false">IF(H$4="运营",0_参数!$C$20*H7*H8*H9*0_参数!$C$36/10000,0)</f>
        <v>1498.59072</v>
      </c>
      <c r="I10" s="20" t="n">
        <f aca="false">IF(I$4="运营",0_参数!$C$20*I7*I8*I9*0_参数!$C$36/10000,0)</f>
        <v>1498.59072</v>
      </c>
      <c r="J10" s="20" t="n">
        <f aca="false">IF(J$4="运营",0_参数!$C$20*J7*J8*J9*0_参数!$C$36/10000,0)</f>
        <v>1498.59072</v>
      </c>
      <c r="K10" s="20" t="n">
        <f aca="false">IF(K$4="运营",0_参数!$C$20*K7*K8*K9*0_参数!$C$36/10000,0)</f>
        <v>1498.59072</v>
      </c>
      <c r="L10" s="20" t="n">
        <f aca="false">IF(L$4="运营",0_参数!$C$20*L7*L8*L9*0_参数!$C$36/10000,0)</f>
        <v>1498.59072</v>
      </c>
      <c r="M10" s="20" t="n">
        <f aca="false">IF(M$4="运营",0_参数!$C$20*M7*M8*M9*0_参数!$C$36/10000,0)</f>
        <v>1498.59072</v>
      </c>
      <c r="N10" s="20" t="n">
        <f aca="false">IF(N$4="运营",0_参数!$C$20*N7*N8*N9*0_参数!$C$36/10000,0)</f>
        <v>1498.59072</v>
      </c>
      <c r="O10" s="20" t="n">
        <f aca="false">IF(O$4="运营",0_参数!$C$20*O7*O8*O9*0_参数!$C$36/10000,0)</f>
        <v>0</v>
      </c>
      <c r="P10" s="20" t="n">
        <f aca="false">IF(P$4="运营",0_参数!$C$20*P7*P8*P9*0_参数!$C$36/10000,0)</f>
        <v>0</v>
      </c>
      <c r="Q10" s="20" t="n">
        <f aca="false">IF(Q$4="运营",0_参数!$C$20*Q7*Q8*Q9*0_参数!$C$36/10000,0)</f>
        <v>0</v>
      </c>
      <c r="R10" s="20" t="n">
        <f aca="false">IF(R$4="运营",0_参数!$C$20*R7*R8*R9*0_参数!$C$36/10000,0)</f>
        <v>0</v>
      </c>
      <c r="S10" s="20" t="n">
        <f aca="false">IF(S$4="运营",0_参数!$C$20*S7*S8*S9*0_参数!$C$36/10000,0)</f>
        <v>0</v>
      </c>
      <c r="T10" s="20" t="n">
        <f aca="false">IF(T$4="运营",0_参数!$C$20*T7*T8*T9*0_参数!$C$36/10000,0)</f>
        <v>0</v>
      </c>
      <c r="U10" s="20" t="n">
        <f aca="false">IF(U$4="运营",0_参数!$C$20*U7*U8*U9*0_参数!$C$36/10000,0)</f>
        <v>0</v>
      </c>
      <c r="V10" s="20" t="n">
        <f aca="false">IFERROR(SUMIF(D$4:U$4,"运营",D10:U10)/0_参数!$C$10,0)</f>
        <v>1481.939712</v>
      </c>
    </row>
    <row r="11" customFormat="false" ht="15" hidden="false" customHeight="false" outlineLevel="0" collapsed="false">
      <c r="A11" s="14"/>
      <c r="B11" s="14" t="s">
        <v>658</v>
      </c>
      <c r="C11" s="14" t="s">
        <v>63</v>
      </c>
      <c r="D11" s="20" t="n">
        <f aca="false">IF(D$4="运营",D10*0_参数!$C$29+0_参数!$C$32*0_参数!$C$35*0_参数!$C$36/10000,0)</f>
        <v>0</v>
      </c>
      <c r="E11" s="20" t="n">
        <f aca="false">IF(E$4="运营",E10*0_参数!$C$29+0_参数!$C$32*0_参数!$C$35*0_参数!$C$36/10000,0)</f>
        <v>1595.5071552</v>
      </c>
      <c r="F11" s="20" t="n">
        <f aca="false">IF(F$4="运营",F10*0_参数!$C$29+0_参数!$C$32*0_参数!$C$35*0_参数!$C$36/10000,0)</f>
        <v>1791.9890496</v>
      </c>
      <c r="G11" s="20" t="n">
        <f aca="false">IF(G$4="运营",G10*0_参数!$C$29+0_参数!$C$32*0_参数!$C$35*0_参数!$C$36/10000,0)</f>
        <v>1791.9890496</v>
      </c>
      <c r="H11" s="20" t="n">
        <f aca="false">IF(H$4="运营",H10*0_参数!$C$29+0_参数!$C$32*0_参数!$C$35*0_参数!$C$36/10000,0)</f>
        <v>1791.9890496</v>
      </c>
      <c r="I11" s="20" t="n">
        <f aca="false">IF(I$4="运营",I10*0_参数!$C$29+0_参数!$C$32*0_参数!$C$35*0_参数!$C$36/10000,0)</f>
        <v>1791.9890496</v>
      </c>
      <c r="J11" s="20" t="n">
        <f aca="false">IF(J$4="运营",J10*0_参数!$C$29+0_参数!$C$32*0_参数!$C$35*0_参数!$C$36/10000,0)</f>
        <v>1791.9890496</v>
      </c>
      <c r="K11" s="20" t="n">
        <f aca="false">IF(K$4="运营",K10*0_参数!$C$29+0_参数!$C$32*0_参数!$C$35*0_参数!$C$36/10000,0)</f>
        <v>1791.9890496</v>
      </c>
      <c r="L11" s="20" t="n">
        <f aca="false">IF(L$4="运营",L10*0_参数!$C$29+0_参数!$C$32*0_参数!$C$35*0_参数!$C$36/10000,0)</f>
        <v>1791.9890496</v>
      </c>
      <c r="M11" s="20" t="n">
        <f aca="false">IF(M$4="运营",M10*0_参数!$C$29+0_参数!$C$32*0_参数!$C$35*0_参数!$C$36/10000,0)</f>
        <v>1791.9890496</v>
      </c>
      <c r="N11" s="20" t="n">
        <f aca="false">IF(N$4="运营",N10*0_参数!$C$29+0_参数!$C$32*0_参数!$C$35*0_参数!$C$36/10000,0)</f>
        <v>1791.9890496</v>
      </c>
      <c r="O11" s="20" t="n">
        <f aca="false">IF(O$4="运营",O10*0_参数!$C$29+0_参数!$C$32*0_参数!$C$35*0_参数!$C$36/10000,0)</f>
        <v>0</v>
      </c>
      <c r="P11" s="20" t="n">
        <f aca="false">IF(P$4="运营",P10*0_参数!$C$29+0_参数!$C$32*0_参数!$C$35*0_参数!$C$36/10000,0)</f>
        <v>0</v>
      </c>
      <c r="Q11" s="20" t="n">
        <f aca="false">IF(Q$4="运营",Q10*0_参数!$C$29+0_参数!$C$32*0_参数!$C$35*0_参数!$C$36/10000,0)</f>
        <v>0</v>
      </c>
      <c r="R11" s="20" t="n">
        <f aca="false">IF(R$4="运营",R10*0_参数!$C$29+0_参数!$C$32*0_参数!$C$35*0_参数!$C$36/10000,0)</f>
        <v>0</v>
      </c>
      <c r="S11" s="20" t="n">
        <f aca="false">IF(S$4="运营",S10*0_参数!$C$29+0_参数!$C$32*0_参数!$C$35*0_参数!$C$36/10000,0)</f>
        <v>0</v>
      </c>
      <c r="T11" s="20" t="n">
        <f aca="false">IF(T$4="运营",T10*0_参数!$C$29+0_参数!$C$32*0_参数!$C$35*0_参数!$C$36/10000,0)</f>
        <v>0</v>
      </c>
      <c r="U11" s="20" t="n">
        <f aca="false">IF(U$4="运营",U10*0_参数!$C$29+0_参数!$C$32*0_参数!$C$35*0_参数!$C$36/10000,0)</f>
        <v>0</v>
      </c>
      <c r="V11" s="20" t="n">
        <f aca="false">IFERROR(SUMIF(D$4:U$4,"运营",D11:U11)/0_参数!$C$10,0)</f>
        <v>1772.34086016</v>
      </c>
    </row>
    <row r="12" customFormat="false" ht="15" hidden="false" customHeight="false" outlineLevel="0" collapsed="false">
      <c r="A12" s="14"/>
      <c r="B12" s="14" t="s">
        <v>659</v>
      </c>
      <c r="C12" s="13" t="s">
        <v>73</v>
      </c>
      <c r="D12" s="17" t="n">
        <f aca="false">IF(D$4="运营",0_参数!$C$37*D7,0)</f>
        <v>0</v>
      </c>
      <c r="E12" s="17" t="n">
        <f aca="false">IF(E$4="运营",0_参数!$C$37*E7,0)</f>
        <v>16000</v>
      </c>
      <c r="F12" s="17" t="n">
        <f aca="false">IF(F$4="运营",0_参数!$C$37*F7,0)</f>
        <v>16000</v>
      </c>
      <c r="G12" s="17" t="n">
        <f aca="false">IF(G$4="运营",0_参数!$C$37*G7,0)</f>
        <v>16000</v>
      </c>
      <c r="H12" s="17" t="n">
        <f aca="false">IF(H$4="运营",0_参数!$C$37*H7,0)</f>
        <v>16000</v>
      </c>
      <c r="I12" s="17" t="n">
        <f aca="false">IF(I$4="运营",0_参数!$C$37*I7,0)</f>
        <v>16000</v>
      </c>
      <c r="J12" s="17" t="n">
        <f aca="false">IF(J$4="运营",0_参数!$C$37*J7,0)</f>
        <v>16000</v>
      </c>
      <c r="K12" s="17" t="n">
        <f aca="false">IF(K$4="运营",0_参数!$C$37*K7,0)</f>
        <v>16000</v>
      </c>
      <c r="L12" s="17" t="n">
        <f aca="false">IF(L$4="运营",0_参数!$C$37*L7,0)</f>
        <v>16000</v>
      </c>
      <c r="M12" s="17" t="n">
        <f aca="false">IF(M$4="运营",0_参数!$C$37*M7,0)</f>
        <v>16000</v>
      </c>
      <c r="N12" s="17" t="n">
        <f aca="false">IF(N$4="运营",0_参数!$C$37*N7,0)</f>
        <v>16000</v>
      </c>
      <c r="O12" s="17" t="n">
        <f aca="false">IF(O$4="运营",0_参数!$C$37*O7,0)</f>
        <v>0</v>
      </c>
      <c r="P12" s="17" t="n">
        <f aca="false">IF(P$4="运营",0_参数!$C$37*P7,0)</f>
        <v>0</v>
      </c>
      <c r="Q12" s="17" t="n">
        <f aca="false">IF(Q$4="运营",0_参数!$C$37*Q7,0)</f>
        <v>0</v>
      </c>
      <c r="R12" s="17" t="n">
        <f aca="false">IF(R$4="运营",0_参数!$C$37*R7,0)</f>
        <v>0</v>
      </c>
      <c r="S12" s="17" t="n">
        <f aca="false">IF(S$4="运营",0_参数!$C$37*S7,0)</f>
        <v>0</v>
      </c>
      <c r="T12" s="17" t="n">
        <f aca="false">IF(T$4="运营",0_参数!$C$37*T7,0)</f>
        <v>0</v>
      </c>
      <c r="U12" s="17" t="n">
        <f aca="false">IF(U$4="运营",0_参数!$C$37*U7,0)</f>
        <v>0</v>
      </c>
      <c r="V12" s="17" t="n">
        <f aca="false">IFERROR(SUMIF(D$4:U$4,"运营",D12:U12)/0_参数!$C$10,0)</f>
        <v>16000</v>
      </c>
    </row>
    <row r="13" customFormat="false" ht="15" hidden="false" customHeight="false" outlineLevel="0" collapsed="false">
      <c r="A13" s="13" t="s">
        <v>30</v>
      </c>
      <c r="B13" s="14" t="s">
        <v>660</v>
      </c>
      <c r="C13" s="14" t="s">
        <v>95</v>
      </c>
      <c r="D13" s="20" t="n">
        <f aca="false">IF(D$4="运营",0_参数!$C$54*0_参数!$C$55/(1+0_参数!$C$56),0)</f>
        <v>0</v>
      </c>
      <c r="E13" s="20" t="n">
        <f aca="false">IF(E$4="运营",0_参数!$C$54*0_参数!$C$55/(1+0_参数!$C$56),0)</f>
        <v>566.037735849057</v>
      </c>
      <c r="F13" s="20" t="n">
        <f aca="false">IF(F$4="运营",0_参数!$C$54*0_参数!$C$55/(1+0_参数!$C$56),0)</f>
        <v>566.037735849057</v>
      </c>
      <c r="G13" s="20" t="n">
        <f aca="false">IF(G$4="运营",0_参数!$C$54*0_参数!$C$55/(1+0_参数!$C$56),0)</f>
        <v>566.037735849057</v>
      </c>
      <c r="H13" s="20" t="n">
        <f aca="false">IF(H$4="运营",0_参数!$C$54*0_参数!$C$55/(1+0_参数!$C$56),0)</f>
        <v>566.037735849057</v>
      </c>
      <c r="I13" s="20" t="n">
        <f aca="false">IF(I$4="运营",0_参数!$C$54*0_参数!$C$55/(1+0_参数!$C$56),0)</f>
        <v>566.037735849057</v>
      </c>
      <c r="J13" s="20" t="n">
        <f aca="false">IF(J$4="运营",0_参数!$C$54*0_参数!$C$55/(1+0_参数!$C$56),0)</f>
        <v>566.037735849057</v>
      </c>
      <c r="K13" s="20" t="n">
        <f aca="false">IF(K$4="运营",0_参数!$C$54*0_参数!$C$55/(1+0_参数!$C$56),0)</f>
        <v>566.037735849057</v>
      </c>
      <c r="L13" s="20" t="n">
        <f aca="false">IF(L$4="运营",0_参数!$C$54*0_参数!$C$55/(1+0_参数!$C$56),0)</f>
        <v>566.037735849057</v>
      </c>
      <c r="M13" s="20" t="n">
        <f aca="false">IF(M$4="运营",0_参数!$C$54*0_参数!$C$55/(1+0_参数!$C$56),0)</f>
        <v>566.037735849057</v>
      </c>
      <c r="N13" s="20" t="n">
        <f aca="false">IF(N$4="运营",0_参数!$C$54*0_参数!$C$55/(1+0_参数!$C$56),0)</f>
        <v>566.037735849057</v>
      </c>
      <c r="O13" s="20" t="n">
        <f aca="false">IF(O$4="运营",0_参数!$C$54*0_参数!$C$55/(1+0_参数!$C$56),0)</f>
        <v>0</v>
      </c>
      <c r="P13" s="20" t="n">
        <f aca="false">IF(P$4="运营",0_参数!$C$54*0_参数!$C$55/(1+0_参数!$C$56),0)</f>
        <v>0</v>
      </c>
      <c r="Q13" s="20" t="n">
        <f aca="false">IF(Q$4="运营",0_参数!$C$54*0_参数!$C$55/(1+0_参数!$C$56),0)</f>
        <v>0</v>
      </c>
      <c r="R13" s="20" t="n">
        <f aca="false">IF(R$4="运营",0_参数!$C$54*0_参数!$C$55/(1+0_参数!$C$56),0)</f>
        <v>0</v>
      </c>
      <c r="S13" s="20" t="n">
        <f aca="false">IF(S$4="运营",0_参数!$C$54*0_参数!$C$55/(1+0_参数!$C$56),0)</f>
        <v>0</v>
      </c>
      <c r="T13" s="20" t="n">
        <f aca="false">IF(T$4="运营",0_参数!$C$54*0_参数!$C$55/(1+0_参数!$C$56),0)</f>
        <v>0</v>
      </c>
      <c r="U13" s="20" t="n">
        <f aca="false">IF(U$4="运营",0_参数!$C$54*0_参数!$C$55/(1+0_参数!$C$56),0)</f>
        <v>0</v>
      </c>
      <c r="V13" s="20" t="n">
        <f aca="false">IFERROR(SUMIF(D$4:U$4,"运营",D13:U13)/0_参数!$C$10,0)</f>
        <v>566.037735849057</v>
      </c>
    </row>
    <row r="14" customFormat="false" ht="15" hidden="false" customHeight="false" outlineLevel="0" collapsed="false">
      <c r="A14" s="13" t="s">
        <v>58</v>
      </c>
      <c r="B14" s="14" t="s">
        <v>661</v>
      </c>
      <c r="C14" s="14" t="s">
        <v>95</v>
      </c>
      <c r="D14" s="20" t="n">
        <f aca="false">D11*0_参数!$C$38*0_参数!$C$49/(1+0_参数!$C$39)</f>
        <v>0</v>
      </c>
      <c r="E14" s="20" t="n">
        <f aca="false">E11*0_参数!$C$38*0_参数!$C$49/(1+0_参数!$C$39)</f>
        <v>635.37895561062</v>
      </c>
      <c r="F14" s="20" t="n">
        <f aca="false">F11*0_参数!$C$38*0_参数!$C$49/(1+0_参数!$C$39)</f>
        <v>713.62395780531</v>
      </c>
      <c r="G14" s="20" t="n">
        <f aca="false">G11*0_参数!$C$38*0_参数!$C$49/(1+0_参数!$C$39)</f>
        <v>713.62395780531</v>
      </c>
      <c r="H14" s="20" t="n">
        <f aca="false">H11*0_参数!$C$38*0_参数!$C$49/(1+0_参数!$C$39)</f>
        <v>713.62395780531</v>
      </c>
      <c r="I14" s="20" t="n">
        <f aca="false">I11*0_参数!$C$38*0_参数!$C$49/(1+0_参数!$C$39)</f>
        <v>713.62395780531</v>
      </c>
      <c r="J14" s="20" t="n">
        <f aca="false">J11*0_参数!$C$38*0_参数!$C$49/(1+0_参数!$C$39)</f>
        <v>713.62395780531</v>
      </c>
      <c r="K14" s="20" t="n">
        <f aca="false">K11*0_参数!$C$38*0_参数!$C$49/(1+0_参数!$C$39)</f>
        <v>713.62395780531</v>
      </c>
      <c r="L14" s="20" t="n">
        <f aca="false">L11*0_参数!$C$38*0_参数!$C$49/(1+0_参数!$C$39)</f>
        <v>713.62395780531</v>
      </c>
      <c r="M14" s="20" t="n">
        <f aca="false">M11*0_参数!$C$38*0_参数!$C$49/(1+0_参数!$C$39)</f>
        <v>713.62395780531</v>
      </c>
      <c r="N14" s="20" t="n">
        <f aca="false">N11*0_参数!$C$38*0_参数!$C$49/(1+0_参数!$C$39)</f>
        <v>713.62395780531</v>
      </c>
      <c r="O14" s="20" t="n">
        <f aca="false">O11*0_参数!$C$38*0_参数!$C$49/(1+0_参数!$C$39)</f>
        <v>0</v>
      </c>
      <c r="P14" s="20" t="n">
        <f aca="false">P11*0_参数!$C$38*0_参数!$C$49/(1+0_参数!$C$39)</f>
        <v>0</v>
      </c>
      <c r="Q14" s="20" t="n">
        <f aca="false">Q11*0_参数!$C$38*0_参数!$C$49/(1+0_参数!$C$39)</f>
        <v>0</v>
      </c>
      <c r="R14" s="20" t="n">
        <f aca="false">R11*0_参数!$C$38*0_参数!$C$49/(1+0_参数!$C$39)</f>
        <v>0</v>
      </c>
      <c r="S14" s="20" t="n">
        <f aca="false">S11*0_参数!$C$38*0_参数!$C$49/(1+0_参数!$C$39)</f>
        <v>0</v>
      </c>
      <c r="T14" s="20" t="n">
        <f aca="false">T11*0_参数!$C$38*0_参数!$C$49/(1+0_参数!$C$39)</f>
        <v>0</v>
      </c>
      <c r="U14" s="20" t="n">
        <f aca="false">U11*0_参数!$C$38*0_参数!$C$49/(1+0_参数!$C$39)</f>
        <v>0</v>
      </c>
      <c r="V14" s="20" t="n">
        <f aca="false">IFERROR(SUMIF(D$4:U$4,"运营",D14:U14)/0_参数!$C$10,0)</f>
        <v>705.799457585841</v>
      </c>
    </row>
    <row r="15" customFormat="false" ht="15" hidden="false" customHeight="false" outlineLevel="0" collapsed="false">
      <c r="A15" s="13" t="s">
        <v>61</v>
      </c>
      <c r="B15" s="14" t="s">
        <v>662</v>
      </c>
      <c r="C15" s="14" t="s">
        <v>95</v>
      </c>
      <c r="D15" s="20" t="n">
        <f aca="false">D12*0_参数!$C$40/(1+0_参数!$C$41)/10000</f>
        <v>0</v>
      </c>
      <c r="E15" s="20" t="n">
        <f aca="false">E12*0_参数!$C$40/(1+0_参数!$C$41)/10000</f>
        <v>6.60550458715596</v>
      </c>
      <c r="F15" s="20" t="n">
        <f aca="false">F12*0_参数!$C$40/(1+0_参数!$C$41)/10000</f>
        <v>6.60550458715596</v>
      </c>
      <c r="G15" s="20" t="n">
        <f aca="false">G12*0_参数!$C$40/(1+0_参数!$C$41)/10000</f>
        <v>6.60550458715596</v>
      </c>
      <c r="H15" s="20" t="n">
        <f aca="false">H12*0_参数!$C$40/(1+0_参数!$C$41)/10000</f>
        <v>6.60550458715596</v>
      </c>
      <c r="I15" s="20" t="n">
        <f aca="false">I12*0_参数!$C$40/(1+0_参数!$C$41)/10000</f>
        <v>6.60550458715596</v>
      </c>
      <c r="J15" s="20" t="n">
        <f aca="false">J12*0_参数!$C$40/(1+0_参数!$C$41)/10000</f>
        <v>6.60550458715596</v>
      </c>
      <c r="K15" s="20" t="n">
        <f aca="false">K12*0_参数!$C$40/(1+0_参数!$C$41)/10000</f>
        <v>6.60550458715596</v>
      </c>
      <c r="L15" s="20" t="n">
        <f aca="false">L12*0_参数!$C$40/(1+0_参数!$C$41)/10000</f>
        <v>6.60550458715596</v>
      </c>
      <c r="M15" s="20" t="n">
        <f aca="false">M12*0_参数!$C$40/(1+0_参数!$C$41)/10000</f>
        <v>6.60550458715596</v>
      </c>
      <c r="N15" s="20" t="n">
        <f aca="false">N12*0_参数!$C$40/(1+0_参数!$C$41)/10000</f>
        <v>6.60550458715596</v>
      </c>
      <c r="O15" s="20" t="n">
        <f aca="false">O12*0_参数!$C$40/(1+0_参数!$C$41)/10000</f>
        <v>0</v>
      </c>
      <c r="P15" s="20" t="n">
        <f aca="false">P12*0_参数!$C$40/(1+0_参数!$C$41)/10000</f>
        <v>0</v>
      </c>
      <c r="Q15" s="20" t="n">
        <f aca="false">Q12*0_参数!$C$40/(1+0_参数!$C$41)/10000</f>
        <v>0</v>
      </c>
      <c r="R15" s="20" t="n">
        <f aca="false">R12*0_参数!$C$40/(1+0_参数!$C$41)/10000</f>
        <v>0</v>
      </c>
      <c r="S15" s="20" t="n">
        <f aca="false">S12*0_参数!$C$40/(1+0_参数!$C$41)/10000</f>
        <v>0</v>
      </c>
      <c r="T15" s="20" t="n">
        <f aca="false">T12*0_参数!$C$40/(1+0_参数!$C$41)/10000</f>
        <v>0</v>
      </c>
      <c r="U15" s="20" t="n">
        <f aca="false">U12*0_参数!$C$40/(1+0_参数!$C$41)/10000</f>
        <v>0</v>
      </c>
      <c r="V15" s="20" t="n">
        <f aca="false">IFERROR(SUMIF(D$4:U$4,"运营",D15:U15)/0_参数!$C$10,0)</f>
        <v>6.60550458715597</v>
      </c>
    </row>
    <row r="16" customFormat="false" ht="15" hidden="false" customHeight="false" outlineLevel="0" collapsed="false">
      <c r="A16" s="13" t="s">
        <v>56</v>
      </c>
      <c r="B16" s="54" t="s">
        <v>663</v>
      </c>
      <c r="C16" s="14" t="s">
        <v>95</v>
      </c>
      <c r="D16" s="55" t="n">
        <f aca="false">D14+D15</f>
        <v>0</v>
      </c>
      <c r="E16" s="55" t="n">
        <f aca="false">E14+E15</f>
        <v>641.984460197776</v>
      </c>
      <c r="F16" s="55" t="n">
        <f aca="false">F14+F15</f>
        <v>720.229462392466</v>
      </c>
      <c r="G16" s="55" t="n">
        <f aca="false">G14+G15</f>
        <v>720.229462392466</v>
      </c>
      <c r="H16" s="55" t="n">
        <f aca="false">H14+H15</f>
        <v>720.229462392466</v>
      </c>
      <c r="I16" s="55" t="n">
        <f aca="false">I14+I15</f>
        <v>720.229462392466</v>
      </c>
      <c r="J16" s="55" t="n">
        <f aca="false">J14+J15</f>
        <v>720.229462392466</v>
      </c>
      <c r="K16" s="55" t="n">
        <f aca="false">K14+K15</f>
        <v>720.229462392466</v>
      </c>
      <c r="L16" s="55" t="n">
        <f aca="false">L14+L15</f>
        <v>720.229462392466</v>
      </c>
      <c r="M16" s="55" t="n">
        <f aca="false">M14+M15</f>
        <v>720.229462392466</v>
      </c>
      <c r="N16" s="55" t="n">
        <f aca="false">N14+N15</f>
        <v>720.229462392466</v>
      </c>
      <c r="O16" s="55" t="n">
        <f aca="false">O14+O15</f>
        <v>0</v>
      </c>
      <c r="P16" s="55" t="n">
        <f aca="false">P14+P15</f>
        <v>0</v>
      </c>
      <c r="Q16" s="55" t="n">
        <f aca="false">Q14+Q15</f>
        <v>0</v>
      </c>
      <c r="R16" s="55" t="n">
        <f aca="false">R14+R15</f>
        <v>0</v>
      </c>
      <c r="S16" s="55" t="n">
        <f aca="false">S14+S15</f>
        <v>0</v>
      </c>
      <c r="T16" s="55" t="n">
        <f aca="false">T14+T15</f>
        <v>0</v>
      </c>
      <c r="U16" s="55" t="n">
        <f aca="false">U14+U15</f>
        <v>0</v>
      </c>
      <c r="V16" s="67" t="n">
        <f aca="false">IFERROR(SUMIF(D$4:U$4,"运营",D16:U16)/0_参数!$C$10,0)</f>
        <v>712.404962172997</v>
      </c>
    </row>
    <row r="17" customFormat="false" ht="15" hidden="false" customHeight="false" outlineLevel="0" collapsed="false">
      <c r="A17" s="13" t="s">
        <v>78</v>
      </c>
      <c r="B17" s="14" t="s">
        <v>664</v>
      </c>
      <c r="C17" s="14" t="s">
        <v>95</v>
      </c>
      <c r="D17" s="20" t="n">
        <f aca="false">IF(D$4="运营",0_参数!$C$68,0)</f>
        <v>0</v>
      </c>
      <c r="E17" s="20" t="n">
        <f aca="false">IF(E$4="运营",0_参数!$C$68,0)</f>
        <v>511</v>
      </c>
      <c r="F17" s="20" t="n">
        <f aca="false">IF(F$4="运营",0_参数!$C$68,0)</f>
        <v>511</v>
      </c>
      <c r="G17" s="20" t="n">
        <f aca="false">IF(G$4="运营",0_参数!$C$68,0)</f>
        <v>511</v>
      </c>
      <c r="H17" s="20" t="n">
        <f aca="false">IF(H$4="运营",0_参数!$C$68,0)</f>
        <v>511</v>
      </c>
      <c r="I17" s="20" t="n">
        <f aca="false">IF(I$4="运营",0_参数!$C$68,0)</f>
        <v>511</v>
      </c>
      <c r="J17" s="20" t="n">
        <f aca="false">IF(J$4="运营",0_参数!$C$68,0)</f>
        <v>511</v>
      </c>
      <c r="K17" s="20" t="n">
        <f aca="false">IF(K$4="运营",0_参数!$C$68,0)</f>
        <v>511</v>
      </c>
      <c r="L17" s="20" t="n">
        <f aca="false">IF(L$4="运营",0_参数!$C$68,0)</f>
        <v>511</v>
      </c>
      <c r="M17" s="20" t="n">
        <f aca="false">IF(M$4="运营",0_参数!$C$68,0)</f>
        <v>511</v>
      </c>
      <c r="N17" s="20" t="n">
        <f aca="false">IF(N$4="运营",0_参数!$C$68,0)</f>
        <v>511</v>
      </c>
      <c r="O17" s="20" t="n">
        <f aca="false">IF(O$4="运营",0_参数!$C$68,0)</f>
        <v>0</v>
      </c>
      <c r="P17" s="20" t="n">
        <f aca="false">IF(P$4="运营",0_参数!$C$68,0)</f>
        <v>0</v>
      </c>
      <c r="Q17" s="20" t="n">
        <f aca="false">IF(Q$4="运营",0_参数!$C$68,0)</f>
        <v>0</v>
      </c>
      <c r="R17" s="20" t="n">
        <f aca="false">IF(R$4="运营",0_参数!$C$68,0)</f>
        <v>0</v>
      </c>
      <c r="S17" s="20" t="n">
        <f aca="false">IF(S$4="运营",0_参数!$C$68,0)</f>
        <v>0</v>
      </c>
      <c r="T17" s="20" t="n">
        <f aca="false">IF(T$4="运营",0_参数!$C$68,0)</f>
        <v>0</v>
      </c>
      <c r="U17" s="20" t="n">
        <f aca="false">IF(U$4="运营",0_参数!$C$68,0)</f>
        <v>0</v>
      </c>
      <c r="V17" s="20" t="n">
        <f aca="false">IFERROR(SUMIF(D$4:U$4,"运营",D17:U17)/0_参数!$C$10,0)</f>
        <v>511</v>
      </c>
    </row>
    <row r="18" customFormat="false" ht="15" hidden="false" customHeight="false" outlineLevel="0" collapsed="false">
      <c r="A18" s="13" t="s">
        <v>91</v>
      </c>
      <c r="B18" s="14" t="s">
        <v>665</v>
      </c>
      <c r="C18" s="14" t="s">
        <v>95</v>
      </c>
      <c r="D18" s="20" t="n">
        <f aca="false">IF(D$4="运营",0_参数!$C$57/(1+0_参数!$C$58),0)</f>
        <v>0</v>
      </c>
      <c r="E18" s="20" t="n">
        <f aca="false">IF(E$4="运营",0_参数!$C$57/(1+0_参数!$C$58),0)</f>
        <v>566.037735849057</v>
      </c>
      <c r="F18" s="20" t="n">
        <f aca="false">IF(F$4="运营",0_参数!$C$57/(1+0_参数!$C$58),0)</f>
        <v>566.037735849057</v>
      </c>
      <c r="G18" s="20" t="n">
        <f aca="false">IF(G$4="运营",0_参数!$C$57/(1+0_参数!$C$58),0)</f>
        <v>566.037735849057</v>
      </c>
      <c r="H18" s="20" t="n">
        <f aca="false">IF(H$4="运营",0_参数!$C$57/(1+0_参数!$C$58),0)</f>
        <v>566.037735849057</v>
      </c>
      <c r="I18" s="20" t="n">
        <f aca="false">IF(I$4="运营",0_参数!$C$57/(1+0_参数!$C$58),0)</f>
        <v>566.037735849057</v>
      </c>
      <c r="J18" s="20" t="n">
        <f aca="false">IF(J$4="运营",0_参数!$C$57/(1+0_参数!$C$58),0)</f>
        <v>566.037735849057</v>
      </c>
      <c r="K18" s="20" t="n">
        <f aca="false">IF(K$4="运营",0_参数!$C$57/(1+0_参数!$C$58),0)</f>
        <v>566.037735849057</v>
      </c>
      <c r="L18" s="20" t="n">
        <f aca="false">IF(L$4="运营",0_参数!$C$57/(1+0_参数!$C$58),0)</f>
        <v>566.037735849057</v>
      </c>
      <c r="M18" s="20" t="n">
        <f aca="false">IF(M$4="运营",0_参数!$C$57/(1+0_参数!$C$58),0)</f>
        <v>566.037735849057</v>
      </c>
      <c r="N18" s="20" t="n">
        <f aca="false">IF(N$4="运营",0_参数!$C$57/(1+0_参数!$C$58),0)</f>
        <v>566.037735849057</v>
      </c>
      <c r="O18" s="20" t="n">
        <f aca="false">IF(O$4="运营",0_参数!$C$57/(1+0_参数!$C$58),0)</f>
        <v>0</v>
      </c>
      <c r="P18" s="20" t="n">
        <f aca="false">IF(P$4="运营",0_参数!$C$57/(1+0_参数!$C$58),0)</f>
        <v>0</v>
      </c>
      <c r="Q18" s="20" t="n">
        <f aca="false">IF(Q$4="运营",0_参数!$C$57/(1+0_参数!$C$58),0)</f>
        <v>0</v>
      </c>
      <c r="R18" s="20" t="n">
        <f aca="false">IF(R$4="运营",0_参数!$C$57/(1+0_参数!$C$58),0)</f>
        <v>0</v>
      </c>
      <c r="S18" s="20" t="n">
        <f aca="false">IF(S$4="运营",0_参数!$C$57/(1+0_参数!$C$58),0)</f>
        <v>0</v>
      </c>
      <c r="T18" s="20" t="n">
        <f aca="false">IF(T$4="运营",0_参数!$C$57/(1+0_参数!$C$58),0)</f>
        <v>0</v>
      </c>
      <c r="U18" s="20" t="n">
        <f aca="false">IF(U$4="运营",0_参数!$C$57/(1+0_参数!$C$58),0)</f>
        <v>0</v>
      </c>
      <c r="V18" s="20" t="n">
        <f aca="false">IFERROR(SUMIF(D$4:U$4,"运营",D18:U18)/0_参数!$C$10,0)</f>
        <v>566.037735849057</v>
      </c>
    </row>
    <row r="19" customFormat="false" ht="15" hidden="false" customHeight="false" outlineLevel="0" collapsed="false">
      <c r="A19" s="13" t="s">
        <v>118</v>
      </c>
      <c r="B19" s="14" t="s">
        <v>666</v>
      </c>
      <c r="C19" s="14" t="s">
        <v>95</v>
      </c>
      <c r="D19" s="20" t="n">
        <f aca="false">'1-2_设备及软件'!$F$12/(1+0_参数!$C$58)*IF(D$5&gt;0,INDEX(0_参数!$D$129:$R$129,D$5),0)</f>
        <v>0</v>
      </c>
      <c r="E19" s="20" t="n">
        <f aca="false">'1-2_设备及软件'!$F$12/(1+0_参数!$C$58)*IF(E$5&gt;0,INDEX(0_参数!$D$129:$R$129,E$5),0)</f>
        <v>0</v>
      </c>
      <c r="F19" s="20" t="n">
        <f aca="false">'1-2_设备及软件'!$F$12/(1+0_参数!$C$58)*IF(F$5&gt;0,INDEX(0_参数!$D$129:$R$129,F$5),0)</f>
        <v>0</v>
      </c>
      <c r="G19" s="20" t="n">
        <f aca="false">'1-2_设备及软件'!$F$12/(1+0_参数!$C$58)*IF(G$5&gt;0,INDEX(0_参数!$D$129:$R$129,G$5),0)</f>
        <v>0</v>
      </c>
      <c r="H19" s="20" t="n">
        <f aca="false">'1-2_设备及软件'!$F$12/(1+0_参数!$C$58)*IF(H$5&gt;0,INDEX(0_参数!$D$129:$R$129,H$5),0)</f>
        <v>889.150943396226</v>
      </c>
      <c r="I19" s="20" t="n">
        <f aca="false">'1-2_设备及软件'!$F$12/(1+0_参数!$C$58)*IF(I$5&gt;0,INDEX(0_参数!$D$129:$R$129,I$5),0)</f>
        <v>889.150943396226</v>
      </c>
      <c r="J19" s="20" t="n">
        <f aca="false">'1-2_设备及软件'!$F$12/(1+0_参数!$C$58)*IF(J$5&gt;0,INDEX(0_参数!$D$129:$R$129,J$5),0)</f>
        <v>889.150943396226</v>
      </c>
      <c r="K19" s="20" t="n">
        <f aca="false">'1-2_设备及软件'!$F$12/(1+0_参数!$C$58)*IF(K$5&gt;0,INDEX(0_参数!$D$129:$R$129,K$5),0)</f>
        <v>1778.30188679245</v>
      </c>
      <c r="L19" s="20" t="n">
        <f aca="false">'1-2_设备及软件'!$F$12/(1+0_参数!$C$58)*IF(L$5&gt;0,INDEX(0_参数!$D$129:$R$129,L$5),0)</f>
        <v>1778.30188679245</v>
      </c>
      <c r="M19" s="20" t="n">
        <f aca="false">'1-2_设备及软件'!$F$12/(1+0_参数!$C$58)*IF(M$5&gt;0,INDEX(0_参数!$D$129:$R$129,M$5),0)</f>
        <v>1778.30188679245</v>
      </c>
      <c r="N19" s="20" t="n">
        <f aca="false">'1-2_设备及软件'!$F$12/(1+0_参数!$C$58)*IF(N$5&gt;0,INDEX(0_参数!$D$129:$R$129,N$5),0)</f>
        <v>1778.30188679245</v>
      </c>
      <c r="O19" s="20" t="n">
        <f aca="false">'1-2_设备及软件'!$F$12/(1+0_参数!$C$58)*IF(O$5&gt;0,INDEX(0_参数!$D$129:$R$129,O$5),0)</f>
        <v>0</v>
      </c>
      <c r="P19" s="20" t="n">
        <f aca="false">'1-2_设备及软件'!$F$12/(1+0_参数!$C$58)*IF(P$5&gt;0,INDEX(0_参数!$D$129:$R$129,P$5),0)</f>
        <v>0</v>
      </c>
      <c r="Q19" s="20" t="n">
        <f aca="false">'1-2_设备及软件'!$F$12/(1+0_参数!$C$58)*IF(Q$5&gt;0,INDEX(0_参数!$D$129:$R$129,Q$5),0)</f>
        <v>0</v>
      </c>
      <c r="R19" s="20" t="n">
        <f aca="false">'1-2_设备及软件'!$F$12/(1+0_参数!$C$58)*IF(R$5&gt;0,INDEX(0_参数!$D$129:$R$129,R$5),0)</f>
        <v>0</v>
      </c>
      <c r="S19" s="20" t="n">
        <f aca="false">'1-2_设备及软件'!$F$12/(1+0_参数!$C$58)*IF(S$5&gt;0,INDEX(0_参数!$D$129:$R$129,S$5),0)</f>
        <v>0</v>
      </c>
      <c r="T19" s="20" t="n">
        <f aca="false">'1-2_设备及软件'!$F$12/(1+0_参数!$C$58)*IF(T$5&gt;0,INDEX(0_参数!$D$129:$R$129,T$5),0)</f>
        <v>0</v>
      </c>
      <c r="U19" s="20" t="n">
        <f aca="false">'1-2_设备及软件'!$F$12/(1+0_参数!$C$58)*IF(U$5&gt;0,INDEX(0_参数!$D$129:$R$129,U$5),0)</f>
        <v>0</v>
      </c>
      <c r="V19" s="20" t="n">
        <f aca="false">IFERROR(SUMIF(D$4:U$4,"运营",D19:U19)/0_参数!$C$10,0)</f>
        <v>978.066037735849</v>
      </c>
    </row>
    <row r="20" customFormat="false" ht="15" hidden="false" customHeight="false" outlineLevel="0" collapsed="false">
      <c r="A20" s="13" t="s">
        <v>161</v>
      </c>
      <c r="B20" s="14" t="s">
        <v>667</v>
      </c>
      <c r="C20" s="14" t="s">
        <v>95</v>
      </c>
      <c r="D20" s="20" t="n">
        <f aca="false">IF(D$4="运营",'1-2_设备及软件'!$F$10/(1+0_参数!$C$58)*0_参数!$C$59,0)</f>
        <v>0</v>
      </c>
      <c r="E20" s="20" t="n">
        <f aca="false">IF(E$4="运营",'1-2_设备及软件'!$F$10/(1+0_参数!$C$58)*0_参数!$C$59,0)</f>
        <v>566.037735849057</v>
      </c>
      <c r="F20" s="20" t="n">
        <f aca="false">IF(F$4="运营",'1-2_设备及软件'!$F$10/(1+0_参数!$C$58)*0_参数!$C$59,0)</f>
        <v>566.037735849057</v>
      </c>
      <c r="G20" s="20" t="n">
        <f aca="false">IF(G$4="运营",'1-2_设备及软件'!$F$10/(1+0_参数!$C$58)*0_参数!$C$59,0)</f>
        <v>566.037735849057</v>
      </c>
      <c r="H20" s="20" t="n">
        <f aca="false">IF(H$4="运营",'1-2_设备及软件'!$F$10/(1+0_参数!$C$58)*0_参数!$C$59,0)</f>
        <v>566.037735849057</v>
      </c>
      <c r="I20" s="20" t="n">
        <f aca="false">IF(I$4="运营",'1-2_设备及软件'!$F$10/(1+0_参数!$C$58)*0_参数!$C$59,0)</f>
        <v>566.037735849057</v>
      </c>
      <c r="J20" s="20" t="n">
        <f aca="false">IF(J$4="运营",'1-2_设备及软件'!$F$10/(1+0_参数!$C$58)*0_参数!$C$59,0)</f>
        <v>566.037735849057</v>
      </c>
      <c r="K20" s="20" t="n">
        <f aca="false">IF(K$4="运营",'1-2_设备及软件'!$F$10/(1+0_参数!$C$58)*0_参数!$C$59,0)</f>
        <v>566.037735849057</v>
      </c>
      <c r="L20" s="20" t="n">
        <f aca="false">IF(L$4="运营",'1-2_设备及软件'!$F$10/(1+0_参数!$C$58)*0_参数!$C$59,0)</f>
        <v>566.037735849057</v>
      </c>
      <c r="M20" s="20" t="n">
        <f aca="false">IF(M$4="运营",'1-2_设备及软件'!$F$10/(1+0_参数!$C$58)*0_参数!$C$59,0)</f>
        <v>566.037735849057</v>
      </c>
      <c r="N20" s="20" t="n">
        <f aca="false">IF(N$4="运营",'1-2_设备及软件'!$F$10/(1+0_参数!$C$58)*0_参数!$C$59,0)</f>
        <v>566.037735849057</v>
      </c>
      <c r="O20" s="20" t="n">
        <f aca="false">IF(O$4="运营",'1-2_设备及软件'!$F$10/(1+0_参数!$C$58)*0_参数!$C$59,0)</f>
        <v>0</v>
      </c>
      <c r="P20" s="20" t="n">
        <f aca="false">IF(P$4="运营",'1-2_设备及软件'!$F$10/(1+0_参数!$C$58)*0_参数!$C$59,0)</f>
        <v>0</v>
      </c>
      <c r="Q20" s="20" t="n">
        <f aca="false">IF(Q$4="运营",'1-2_设备及软件'!$F$10/(1+0_参数!$C$58)*0_参数!$C$59,0)</f>
        <v>0</v>
      </c>
      <c r="R20" s="20" t="n">
        <f aca="false">IF(R$4="运营",'1-2_设备及软件'!$F$10/(1+0_参数!$C$58)*0_参数!$C$59,0)</f>
        <v>0</v>
      </c>
      <c r="S20" s="20" t="n">
        <f aca="false">IF(S$4="运营",'1-2_设备及软件'!$F$10/(1+0_参数!$C$58)*0_参数!$C$59,0)</f>
        <v>0</v>
      </c>
      <c r="T20" s="20" t="n">
        <f aca="false">IF(T$4="运营",'1-2_设备及软件'!$F$10/(1+0_参数!$C$58)*0_参数!$C$59,0)</f>
        <v>0</v>
      </c>
      <c r="U20" s="20" t="n">
        <f aca="false">IF(U$4="运营",'1-2_设备及软件'!$F$10/(1+0_参数!$C$58)*0_参数!$C$59,0)</f>
        <v>0</v>
      </c>
      <c r="V20" s="20" t="n">
        <f aca="false">IFERROR(SUMIF(D$4:U$4,"运营",D20:U20)/0_参数!$C$10,0)</f>
        <v>566.037735849057</v>
      </c>
    </row>
    <row r="21" customFormat="false" ht="15" hidden="false" customHeight="false" outlineLevel="0" collapsed="false">
      <c r="A21" s="13" t="s">
        <v>556</v>
      </c>
      <c r="B21" s="14" t="s">
        <v>668</v>
      </c>
      <c r="C21" s="14" t="s">
        <v>95</v>
      </c>
      <c r="D21" s="20" t="n">
        <f aca="false">IF(D$4="运营",'1-2_设备及软件'!$F$22/(1+0_参数!$C$58)*0_参数!$C$60,0)</f>
        <v>0</v>
      </c>
      <c r="E21" s="20" t="n">
        <f aca="false">IF(E$4="运营",'1-2_设备及软件'!$F$22/(1+0_参数!$C$58)*0_参数!$C$60,0)</f>
        <v>126.433962264151</v>
      </c>
      <c r="F21" s="20" t="n">
        <f aca="false">IF(F$4="运营",'1-2_设备及软件'!$F$22/(1+0_参数!$C$58)*0_参数!$C$60,0)</f>
        <v>126.433962264151</v>
      </c>
      <c r="G21" s="20" t="n">
        <f aca="false">IF(G$4="运营",'1-2_设备及软件'!$F$22/(1+0_参数!$C$58)*0_参数!$C$60,0)</f>
        <v>126.433962264151</v>
      </c>
      <c r="H21" s="20" t="n">
        <f aca="false">IF(H$4="运营",'1-2_设备及软件'!$F$22/(1+0_参数!$C$58)*0_参数!$C$60,0)</f>
        <v>126.433962264151</v>
      </c>
      <c r="I21" s="20" t="n">
        <f aca="false">IF(I$4="运营",'1-2_设备及软件'!$F$22/(1+0_参数!$C$58)*0_参数!$C$60,0)</f>
        <v>126.433962264151</v>
      </c>
      <c r="J21" s="20" t="n">
        <f aca="false">IF(J$4="运营",'1-2_设备及软件'!$F$22/(1+0_参数!$C$58)*0_参数!$C$60,0)</f>
        <v>126.433962264151</v>
      </c>
      <c r="K21" s="20" t="n">
        <f aca="false">IF(K$4="运营",'1-2_设备及软件'!$F$22/(1+0_参数!$C$58)*0_参数!$C$60,0)</f>
        <v>126.433962264151</v>
      </c>
      <c r="L21" s="20" t="n">
        <f aca="false">IF(L$4="运营",'1-2_设备及软件'!$F$22/(1+0_参数!$C$58)*0_参数!$C$60,0)</f>
        <v>126.433962264151</v>
      </c>
      <c r="M21" s="20" t="n">
        <f aca="false">IF(M$4="运营",'1-2_设备及软件'!$F$22/(1+0_参数!$C$58)*0_参数!$C$60,0)</f>
        <v>126.433962264151</v>
      </c>
      <c r="N21" s="20" t="n">
        <f aca="false">IF(N$4="运营",'1-2_设备及软件'!$F$22/(1+0_参数!$C$58)*0_参数!$C$60,0)</f>
        <v>126.433962264151</v>
      </c>
      <c r="O21" s="20" t="n">
        <f aca="false">IF(O$4="运营",'1-2_设备及软件'!$F$22/(1+0_参数!$C$58)*0_参数!$C$60,0)</f>
        <v>0</v>
      </c>
      <c r="P21" s="20" t="n">
        <f aca="false">IF(P$4="运营",'1-2_设备及软件'!$F$22/(1+0_参数!$C$58)*0_参数!$C$60,0)</f>
        <v>0</v>
      </c>
      <c r="Q21" s="20" t="n">
        <f aca="false">IF(Q$4="运营",'1-2_设备及软件'!$F$22/(1+0_参数!$C$58)*0_参数!$C$60,0)</f>
        <v>0</v>
      </c>
      <c r="R21" s="20" t="n">
        <f aca="false">IF(R$4="运营",'1-2_设备及软件'!$F$22/(1+0_参数!$C$58)*0_参数!$C$60,0)</f>
        <v>0</v>
      </c>
      <c r="S21" s="20" t="n">
        <f aca="false">IF(S$4="运营",'1-2_设备及软件'!$F$22/(1+0_参数!$C$58)*0_参数!$C$60,0)</f>
        <v>0</v>
      </c>
      <c r="T21" s="20" t="n">
        <f aca="false">IF(T$4="运营",'1-2_设备及软件'!$F$22/(1+0_参数!$C$58)*0_参数!$C$60,0)</f>
        <v>0</v>
      </c>
      <c r="U21" s="20" t="n">
        <f aca="false">IF(U$4="运营",'1-2_设备及软件'!$F$22/(1+0_参数!$C$58)*0_参数!$C$60,0)</f>
        <v>0</v>
      </c>
      <c r="V21" s="20" t="n">
        <f aca="false">IFERROR(SUMIF(D$4:U$4,"运营",D21:U21)/0_参数!$C$10,0)</f>
        <v>126.433962264151</v>
      </c>
    </row>
    <row r="22" customFormat="false" ht="15" hidden="false" customHeight="false" outlineLevel="0" collapsed="false">
      <c r="A22" s="13" t="s">
        <v>560</v>
      </c>
      <c r="B22" s="14" t="s">
        <v>669</v>
      </c>
      <c r="C22" s="14" t="s">
        <v>95</v>
      </c>
      <c r="D22" s="20" t="n">
        <f aca="false">D17*0_参数!$C$69</f>
        <v>0</v>
      </c>
      <c r="E22" s="20" t="n">
        <f aca="false">E17*0_参数!$C$69</f>
        <v>102.2</v>
      </c>
      <c r="F22" s="20" t="n">
        <f aca="false">F17*0_参数!$C$69</f>
        <v>102.2</v>
      </c>
      <c r="G22" s="20" t="n">
        <f aca="false">G17*0_参数!$C$69</f>
        <v>102.2</v>
      </c>
      <c r="H22" s="20" t="n">
        <f aca="false">H17*0_参数!$C$69</f>
        <v>102.2</v>
      </c>
      <c r="I22" s="20" t="n">
        <f aca="false">I17*0_参数!$C$69</f>
        <v>102.2</v>
      </c>
      <c r="J22" s="20" t="n">
        <f aca="false">J17*0_参数!$C$69</f>
        <v>102.2</v>
      </c>
      <c r="K22" s="20" t="n">
        <f aca="false">K17*0_参数!$C$69</f>
        <v>102.2</v>
      </c>
      <c r="L22" s="20" t="n">
        <f aca="false">L17*0_参数!$C$69</f>
        <v>102.2</v>
      </c>
      <c r="M22" s="20" t="n">
        <f aca="false">M17*0_参数!$C$69</f>
        <v>102.2</v>
      </c>
      <c r="N22" s="20" t="n">
        <f aca="false">N17*0_参数!$C$69</f>
        <v>102.2</v>
      </c>
      <c r="O22" s="20" t="n">
        <f aca="false">O17*0_参数!$C$69</f>
        <v>0</v>
      </c>
      <c r="P22" s="20" t="n">
        <f aca="false">P17*0_参数!$C$69</f>
        <v>0</v>
      </c>
      <c r="Q22" s="20" t="n">
        <f aca="false">Q17*0_参数!$C$69</f>
        <v>0</v>
      </c>
      <c r="R22" s="20" t="n">
        <f aca="false">R17*0_参数!$C$69</f>
        <v>0</v>
      </c>
      <c r="S22" s="20" t="n">
        <f aca="false">S17*0_参数!$C$69</f>
        <v>0</v>
      </c>
      <c r="T22" s="20" t="n">
        <f aca="false">T17*0_参数!$C$69</f>
        <v>0</v>
      </c>
      <c r="U22" s="20" t="n">
        <f aca="false">U17*0_参数!$C$69</f>
        <v>0</v>
      </c>
      <c r="V22" s="20" t="n">
        <f aca="false">IFERROR(SUMIF(D$4:U$4,"运营",D22:U22)/0_参数!$C$10,0)</f>
        <v>102.2</v>
      </c>
    </row>
    <row r="23" customFormat="false" ht="15" hidden="false" customHeight="false" outlineLevel="0" collapsed="false">
      <c r="A23" s="66" t="s">
        <v>564</v>
      </c>
      <c r="B23" s="50" t="s">
        <v>670</v>
      </c>
      <c r="C23" s="49" t="s">
        <v>95</v>
      </c>
      <c r="D23" s="51" t="n">
        <f aca="false">D13+D16+D17+D18+D19+D20+D21+D22</f>
        <v>0</v>
      </c>
      <c r="E23" s="51" t="n">
        <f aca="false">E13+E16+E17+E18+E19+E20+E21+E22</f>
        <v>3079.7316300091</v>
      </c>
      <c r="F23" s="51" t="n">
        <f aca="false">F13+F16+F17+F18+F19+F20+F21+F22</f>
        <v>3157.97663220379</v>
      </c>
      <c r="G23" s="51" t="n">
        <f aca="false">G13+G16+G17+G18+G19+G20+G21+G22</f>
        <v>3157.97663220379</v>
      </c>
      <c r="H23" s="51" t="n">
        <f aca="false">H13+H16+H17+H18+H19+H20+H21+H22</f>
        <v>4047.12757560001</v>
      </c>
      <c r="I23" s="51" t="n">
        <f aca="false">I13+I16+I17+I18+I19+I20+I21+I22</f>
        <v>4047.12757560001</v>
      </c>
      <c r="J23" s="51" t="n">
        <f aca="false">J13+J16+J17+J18+J19+J20+J21+J22</f>
        <v>4047.12757560001</v>
      </c>
      <c r="K23" s="51" t="n">
        <f aca="false">K13+K16+K17+K18+K19+K20+K21+K22</f>
        <v>4936.27851899624</v>
      </c>
      <c r="L23" s="51" t="n">
        <f aca="false">L13+L16+L17+L18+L19+L20+L21+L22</f>
        <v>4936.27851899624</v>
      </c>
      <c r="M23" s="51" t="n">
        <f aca="false">M13+M16+M17+M18+M19+M20+M21+M22</f>
        <v>4936.27851899624</v>
      </c>
      <c r="N23" s="51" t="n">
        <f aca="false">N13+N16+N17+N18+N19+N20+N21+N22</f>
        <v>4936.27851899624</v>
      </c>
      <c r="O23" s="51" t="n">
        <f aca="false">O13+O16+O17+O18+O19+O20+O21+O22</f>
        <v>0</v>
      </c>
      <c r="P23" s="51" t="n">
        <f aca="false">P13+P16+P17+P18+P19+P20+P21+P22</f>
        <v>0</v>
      </c>
      <c r="Q23" s="51" t="n">
        <f aca="false">Q13+Q16+Q17+Q18+Q19+Q20+Q21+Q22</f>
        <v>0</v>
      </c>
      <c r="R23" s="51" t="n">
        <f aca="false">R13+R16+R17+R18+R19+R20+R21+R22</f>
        <v>0</v>
      </c>
      <c r="S23" s="51" t="n">
        <f aca="false">S13+S16+S17+S18+S19+S20+S21+S22</f>
        <v>0</v>
      </c>
      <c r="T23" s="51" t="n">
        <f aca="false">T13+T16+T17+T18+T19+T20+T21+T22</f>
        <v>0</v>
      </c>
      <c r="U23" s="51" t="n">
        <f aca="false">U13+U16+U17+U18+U19+U20+U21+U22</f>
        <v>0</v>
      </c>
      <c r="V23" s="60" t="n">
        <f aca="false">IFERROR(SUMIF(D$4:U$4,"运营",D23:U23)/0_参数!$C$10,0)</f>
        <v>4128.21816972017</v>
      </c>
    </row>
    <row r="24" customFormat="false" ht="15" hidden="false" customHeight="false" outlineLevel="0" collapsed="false">
      <c r="A24" s="13" t="s">
        <v>567</v>
      </c>
      <c r="B24" s="14" t="s">
        <v>671</v>
      </c>
      <c r="C24" s="14" t="s">
        <v>95</v>
      </c>
      <c r="D24" s="20" t="n">
        <f aca="false">5_折旧摊销!D$27</f>
        <v>0</v>
      </c>
      <c r="E24" s="20" t="n">
        <f aca="false">5_折旧摊销!E$27</f>
        <v>19019.003115404</v>
      </c>
      <c r="F24" s="20" t="n">
        <f aca="false">5_折旧摊销!F$27</f>
        <v>19019.003115404</v>
      </c>
      <c r="G24" s="20" t="n">
        <f aca="false">5_折旧摊销!G$27</f>
        <v>19019.003115404</v>
      </c>
      <c r="H24" s="20" t="n">
        <f aca="false">5_折旧摊销!H$27</f>
        <v>19019.003115404</v>
      </c>
      <c r="I24" s="20" t="n">
        <f aca="false">5_折旧摊销!I$27</f>
        <v>19019.003115404</v>
      </c>
      <c r="J24" s="20" t="n">
        <f aca="false">5_折旧摊销!J$27</f>
        <v>993.747120493301</v>
      </c>
      <c r="K24" s="20" t="n">
        <f aca="false">5_折旧摊销!K$27</f>
        <v>993.747120493301</v>
      </c>
      <c r="L24" s="20" t="n">
        <f aca="false">5_折旧摊销!L$27</f>
        <v>993.747120493301</v>
      </c>
      <c r="M24" s="20" t="n">
        <f aca="false">5_折旧摊销!M$27</f>
        <v>993.747120493301</v>
      </c>
      <c r="N24" s="20" t="n">
        <f aca="false">5_折旧摊销!N$27</f>
        <v>993.747120493301</v>
      </c>
      <c r="O24" s="20" t="n">
        <f aca="false">5_折旧摊销!O$27</f>
        <v>0</v>
      </c>
      <c r="P24" s="20" t="n">
        <f aca="false">5_折旧摊销!P$27</f>
        <v>0</v>
      </c>
      <c r="Q24" s="20" t="n">
        <f aca="false">5_折旧摊销!Q$27</f>
        <v>0</v>
      </c>
      <c r="R24" s="20" t="n">
        <f aca="false">5_折旧摊销!R$27</f>
        <v>0</v>
      </c>
      <c r="S24" s="20" t="n">
        <f aca="false">5_折旧摊销!S$27</f>
        <v>0</v>
      </c>
      <c r="T24" s="20" t="n">
        <f aca="false">5_折旧摊销!T$27</f>
        <v>0</v>
      </c>
      <c r="U24" s="20" t="n">
        <f aca="false">5_折旧摊销!U$27</f>
        <v>0</v>
      </c>
      <c r="V24" s="20" t="n">
        <f aca="false">IFERROR(SUMIF(D$4:U$4,"运营",D24:U24)/0_参数!$C$10,0)</f>
        <v>10006.3751179486</v>
      </c>
    </row>
    <row r="25" customFormat="false" ht="15" hidden="false" customHeight="false" outlineLevel="0" collapsed="false">
      <c r="A25" s="13" t="s">
        <v>570</v>
      </c>
      <c r="B25" s="14" t="s">
        <v>672</v>
      </c>
      <c r="C25" s="14" t="s">
        <v>95</v>
      </c>
      <c r="D25" s="20" t="n">
        <f aca="false">5_折旧摊销!D$31</f>
        <v>0</v>
      </c>
      <c r="E25" s="20" t="n">
        <f aca="false">5_折旧摊销!E$31</f>
        <v>8.46</v>
      </c>
      <c r="F25" s="20" t="n">
        <f aca="false">5_折旧摊销!F$31</f>
        <v>8.46</v>
      </c>
      <c r="G25" s="20" t="n">
        <f aca="false">5_折旧摊销!G$31</f>
        <v>8.46</v>
      </c>
      <c r="H25" s="20" t="n">
        <f aca="false">5_折旧摊销!H$31</f>
        <v>8.46</v>
      </c>
      <c r="I25" s="20" t="n">
        <f aca="false">5_折旧摊销!I$31</f>
        <v>8.46</v>
      </c>
      <c r="J25" s="20" t="n">
        <f aca="false">5_折旧摊销!J$31</f>
        <v>0</v>
      </c>
      <c r="K25" s="20" t="n">
        <f aca="false">5_折旧摊销!K$31</f>
        <v>0</v>
      </c>
      <c r="L25" s="20" t="n">
        <f aca="false">5_折旧摊销!L$31</f>
        <v>0</v>
      </c>
      <c r="M25" s="20" t="n">
        <f aca="false">5_折旧摊销!M$31</f>
        <v>0</v>
      </c>
      <c r="N25" s="20" t="n">
        <f aca="false">5_折旧摊销!N$31</f>
        <v>0</v>
      </c>
      <c r="O25" s="20" t="n">
        <f aca="false">5_折旧摊销!O$31</f>
        <v>0</v>
      </c>
      <c r="P25" s="20" t="n">
        <f aca="false">5_折旧摊销!P$31</f>
        <v>0</v>
      </c>
      <c r="Q25" s="20" t="n">
        <f aca="false">5_折旧摊销!Q$31</f>
        <v>0</v>
      </c>
      <c r="R25" s="20" t="n">
        <f aca="false">5_折旧摊销!R$31</f>
        <v>0</v>
      </c>
      <c r="S25" s="20" t="n">
        <f aca="false">5_折旧摊销!S$31</f>
        <v>0</v>
      </c>
      <c r="T25" s="20" t="n">
        <f aca="false">5_折旧摊销!T$31</f>
        <v>0</v>
      </c>
      <c r="U25" s="20" t="n">
        <f aca="false">5_折旧摊销!U$31</f>
        <v>0</v>
      </c>
      <c r="V25" s="20" t="n">
        <f aca="false">IFERROR(SUMIF(D$4:U$4,"运营",D25:U25)/0_参数!$C$10,0)</f>
        <v>4.23</v>
      </c>
    </row>
    <row r="26" customFormat="false" ht="15" hidden="false" customHeight="false" outlineLevel="0" collapsed="false">
      <c r="A26" s="13" t="s">
        <v>673</v>
      </c>
      <c r="B26" s="14" t="s">
        <v>674</v>
      </c>
      <c r="C26" s="14" t="s">
        <v>95</v>
      </c>
      <c r="D26" s="20" t="n">
        <f aca="false">IF(D$4="运营",11_还本付息!D$10+11_还本付息!D$19,0)</f>
        <v>0</v>
      </c>
      <c r="E26" s="20" t="n">
        <f aca="false">IF(E$4="运营",11_还本付息!E$10+11_还本付息!E$19,0)</f>
        <v>3139.81305484047</v>
      </c>
      <c r="F26" s="20" t="n">
        <f aca="false">IF(F$4="运营",11_还本付息!F$10+11_还本付息!F$19,0)</f>
        <v>2851.88660487529</v>
      </c>
      <c r="G26" s="20" t="n">
        <f aca="false">IF(G$4="运营",11_还本付息!G$10+11_还本付息!G$19,0)</f>
        <v>2542.74493462709</v>
      </c>
      <c r="H26" s="20" t="n">
        <f aca="false">IF(H$4="运营",11_还本付息!H$10+11_还本付息!H$19,0)</f>
        <v>2230.88515117135</v>
      </c>
      <c r="I26" s="20" t="n">
        <f aca="false">IF(I$4="运营",11_还本付息!I$10+11_还本付息!I$19,0)</f>
        <v>1919.0253677156</v>
      </c>
      <c r="J26" s="20" t="n">
        <f aca="false">IF(J$4="运营",11_还本付息!J$10+11_还本付息!J$19,0)</f>
        <v>1607.16558425986</v>
      </c>
      <c r="K26" s="20" t="n">
        <f aca="false">IF(K$4="运营",11_还本付息!K$10+11_还本付息!K$19,0)</f>
        <v>1295.30580080411</v>
      </c>
      <c r="L26" s="20" t="n">
        <f aca="false">IF(L$4="运营",11_还本付息!L$10+11_还本付息!L$19,0)</f>
        <v>983.446017348367</v>
      </c>
      <c r="M26" s="20" t="n">
        <f aca="false">IF(M$4="运营",11_还本付息!M$10+11_还本付息!M$19,0)</f>
        <v>671.586233892622</v>
      </c>
      <c r="N26" s="20" t="n">
        <f aca="false">IF(N$4="运营",11_还本付息!N$10+11_还本付息!N$19,0)</f>
        <v>359.726450436877</v>
      </c>
      <c r="O26" s="20" t="n">
        <f aca="false">IF(O$4="运营",11_还本付息!O$10+11_还本付息!O$19,0)</f>
        <v>0</v>
      </c>
      <c r="P26" s="20" t="n">
        <f aca="false">IF(P$4="运营",11_还本付息!P$10+11_还本付息!P$19,0)</f>
        <v>0</v>
      </c>
      <c r="Q26" s="20" t="n">
        <f aca="false">IF(Q$4="运营",11_还本付息!Q$10+11_还本付息!Q$19,0)</f>
        <v>0</v>
      </c>
      <c r="R26" s="20" t="n">
        <f aca="false">IF(R$4="运营",11_还本付息!R$10+11_还本付息!R$19,0)</f>
        <v>0</v>
      </c>
      <c r="S26" s="20" t="n">
        <f aca="false">IF(S$4="运营",11_还本付息!S$10+11_还本付息!S$19,0)</f>
        <v>0</v>
      </c>
      <c r="T26" s="20" t="n">
        <f aca="false">IF(T$4="运营",11_还本付息!T$10+11_还本付息!T$19,0)</f>
        <v>0</v>
      </c>
      <c r="U26" s="20" t="n">
        <f aca="false">IF(U$4="运营",11_还本付息!U$10+11_还本付息!U$19,0)</f>
        <v>0</v>
      </c>
      <c r="V26" s="20" t="n">
        <f aca="false">IFERROR(SUMIF(D$4:U$4,"运营",D26:U26)/0_参数!$C$10,0)</f>
        <v>1760.15851999716</v>
      </c>
    </row>
    <row r="27" customFormat="false" ht="15" hidden="false" customHeight="false" outlineLevel="0" collapsed="false">
      <c r="A27" s="66" t="s">
        <v>675</v>
      </c>
      <c r="B27" s="50" t="s">
        <v>676</v>
      </c>
      <c r="C27" s="49" t="s">
        <v>95</v>
      </c>
      <c r="D27" s="51" t="n">
        <f aca="false">D23+D24+D25+D26</f>
        <v>0</v>
      </c>
      <c r="E27" s="51" t="n">
        <f aca="false">E23+E24+E25+E26</f>
        <v>25247.0078002535</v>
      </c>
      <c r="F27" s="51" t="n">
        <f aca="false">F23+F24+F25+F26</f>
        <v>25037.326352483</v>
      </c>
      <c r="G27" s="51" t="n">
        <f aca="false">G23+G24+G25+G26</f>
        <v>24728.1846822348</v>
      </c>
      <c r="H27" s="51" t="n">
        <f aca="false">H23+H24+H25+H26</f>
        <v>25305.4758421753</v>
      </c>
      <c r="I27" s="51" t="n">
        <f aca="false">I23+I24+I25+I26</f>
        <v>24993.6160587196</v>
      </c>
      <c r="J27" s="51" t="n">
        <f aca="false">J23+J24+J25+J26</f>
        <v>6648.04028035317</v>
      </c>
      <c r="K27" s="51" t="n">
        <f aca="false">K23+K24+K25+K26</f>
        <v>7225.33144029365</v>
      </c>
      <c r="L27" s="51" t="n">
        <f aca="false">L23+L24+L25+L26</f>
        <v>6913.47165683791</v>
      </c>
      <c r="M27" s="51" t="n">
        <f aca="false">M23+M24+M25+M26</f>
        <v>6601.61187338216</v>
      </c>
      <c r="N27" s="51" t="n">
        <f aca="false">N23+N24+N25+N26</f>
        <v>6289.75208992642</v>
      </c>
      <c r="O27" s="51" t="n">
        <f aca="false">O23+O24+O25+O26</f>
        <v>0</v>
      </c>
      <c r="P27" s="51" t="n">
        <f aca="false">P23+P24+P25+P26</f>
        <v>0</v>
      </c>
      <c r="Q27" s="51" t="n">
        <f aca="false">Q23+Q24+Q25+Q26</f>
        <v>0</v>
      </c>
      <c r="R27" s="51" t="n">
        <f aca="false">R23+R24+R25+R26</f>
        <v>0</v>
      </c>
      <c r="S27" s="51" t="n">
        <f aca="false">S23+S24+S25+S26</f>
        <v>0</v>
      </c>
      <c r="T27" s="51" t="n">
        <f aca="false">T23+T24+T25+T26</f>
        <v>0</v>
      </c>
      <c r="U27" s="51" t="n">
        <f aca="false">U23+U24+U25+U26</f>
        <v>0</v>
      </c>
      <c r="V27" s="60" t="n">
        <f aca="false">IFERROR(SUMIF(D$4:U$4,"运营",D27:U27)/0_参数!$C$10,0)</f>
        <v>15898.981807666</v>
      </c>
    </row>
    <row r="28" customFormat="false" ht="15" hidden="false" customHeight="false" outlineLevel="0" collapsed="false">
      <c r="A28" s="14"/>
      <c r="B28" s="14" t="s">
        <v>677</v>
      </c>
      <c r="C28" s="14" t="s">
        <v>95</v>
      </c>
      <c r="D28" s="46" t="n">
        <f aca="false">D16</f>
        <v>0</v>
      </c>
      <c r="E28" s="46" t="n">
        <f aca="false">E16</f>
        <v>641.984460197776</v>
      </c>
      <c r="F28" s="46" t="n">
        <f aca="false">F16</f>
        <v>720.229462392466</v>
      </c>
      <c r="G28" s="46" t="n">
        <f aca="false">G16</f>
        <v>720.229462392466</v>
      </c>
      <c r="H28" s="46" t="n">
        <f aca="false">H16</f>
        <v>720.229462392466</v>
      </c>
      <c r="I28" s="46" t="n">
        <f aca="false">I16</f>
        <v>720.229462392466</v>
      </c>
      <c r="J28" s="46" t="n">
        <f aca="false">J16</f>
        <v>720.229462392466</v>
      </c>
      <c r="K28" s="46" t="n">
        <f aca="false">K16</f>
        <v>720.229462392466</v>
      </c>
      <c r="L28" s="46" t="n">
        <f aca="false">L16</f>
        <v>720.229462392466</v>
      </c>
      <c r="M28" s="46" t="n">
        <f aca="false">M16</f>
        <v>720.229462392466</v>
      </c>
      <c r="N28" s="46" t="n">
        <f aca="false">N16</f>
        <v>720.229462392466</v>
      </c>
      <c r="O28" s="46" t="n">
        <f aca="false">O16</f>
        <v>0</v>
      </c>
      <c r="P28" s="46" t="n">
        <f aca="false">P16</f>
        <v>0</v>
      </c>
      <c r="Q28" s="46" t="n">
        <f aca="false">Q16</f>
        <v>0</v>
      </c>
      <c r="R28" s="46" t="n">
        <f aca="false">R16</f>
        <v>0</v>
      </c>
      <c r="S28" s="46" t="n">
        <f aca="false">S16</f>
        <v>0</v>
      </c>
      <c r="T28" s="46" t="n">
        <f aca="false">T16</f>
        <v>0</v>
      </c>
      <c r="U28" s="46" t="n">
        <f aca="false">U16</f>
        <v>0</v>
      </c>
      <c r="V28" s="20" t="n">
        <f aca="false">IFERROR(SUMIF(D$4:U$4,"运营",D28:U28)/0_参数!$C$10,0)</f>
        <v>712.404962172997</v>
      </c>
    </row>
    <row r="29" customFormat="false" ht="15" hidden="false" customHeight="false" outlineLevel="0" collapsed="false">
      <c r="A29" s="14"/>
      <c r="B29" s="14" t="s">
        <v>678</v>
      </c>
      <c r="C29" s="14" t="s">
        <v>95</v>
      </c>
      <c r="D29" s="46" t="n">
        <f aca="false">D27-D28</f>
        <v>0</v>
      </c>
      <c r="E29" s="46" t="n">
        <f aca="false">E27-E28</f>
        <v>24605.0233400558</v>
      </c>
      <c r="F29" s="46" t="n">
        <f aca="false">F27-F28</f>
        <v>24317.0968900906</v>
      </c>
      <c r="G29" s="46" t="n">
        <f aca="false">G27-G28</f>
        <v>24007.9552198424</v>
      </c>
      <c r="H29" s="46" t="n">
        <f aca="false">H27-H28</f>
        <v>24585.2463797829</v>
      </c>
      <c r="I29" s="46" t="n">
        <f aca="false">I27-I28</f>
        <v>24273.3865963271</v>
      </c>
      <c r="J29" s="46" t="n">
        <f aca="false">J27-J28</f>
        <v>5927.8108179607</v>
      </c>
      <c r="K29" s="46" t="n">
        <f aca="false">K27-K28</f>
        <v>6505.10197790119</v>
      </c>
      <c r="L29" s="46" t="n">
        <f aca="false">L27-L28</f>
        <v>6193.24219444544</v>
      </c>
      <c r="M29" s="46" t="n">
        <f aca="false">M27-M28</f>
        <v>5881.3824109897</v>
      </c>
      <c r="N29" s="46" t="n">
        <f aca="false">N27-N28</f>
        <v>5569.52262753395</v>
      </c>
      <c r="O29" s="46" t="n">
        <f aca="false">O27-O28</f>
        <v>0</v>
      </c>
      <c r="P29" s="46" t="n">
        <f aca="false">P27-P28</f>
        <v>0</v>
      </c>
      <c r="Q29" s="46" t="n">
        <f aca="false">Q27-Q28</f>
        <v>0</v>
      </c>
      <c r="R29" s="46" t="n">
        <f aca="false">R27-R28</f>
        <v>0</v>
      </c>
      <c r="S29" s="46" t="n">
        <f aca="false">S27-S28</f>
        <v>0</v>
      </c>
      <c r="T29" s="46" t="n">
        <f aca="false">T27-T28</f>
        <v>0</v>
      </c>
      <c r="U29" s="46" t="n">
        <f aca="false">U27-U28</f>
        <v>0</v>
      </c>
      <c r="V29" s="20" t="n">
        <f aca="false">IFERROR(SUMIF(D$4:U$4,"运营",D29:U29)/0_参数!$C$10,0)</f>
        <v>15186.576845493</v>
      </c>
    </row>
    <row r="30" customFormat="false" ht="15" hidden="false" customHeight="false" outlineLevel="0" collapsed="false">
      <c r="A30" s="14"/>
      <c r="B30" s="14" t="s">
        <v>679</v>
      </c>
      <c r="C30" s="14" t="s">
        <v>95</v>
      </c>
      <c r="D30" s="20" t="n">
        <f aca="false">D14*0_参数!$C$39+D15*0_参数!$C$41+D13*0_参数!$C$56+(D18+D19+D20+D21)*0_参数!$C$58</f>
        <v>0</v>
      </c>
      <c r="E30" s="20" t="n">
        <f aca="false">E14*0_参数!$C$39+E15*0_参数!$C$41+E13*0_参数!$C$56+(E18+E19+E20+E21)*0_参数!$C$58</f>
        <v>192.666589830904</v>
      </c>
      <c r="F30" s="20" t="n">
        <f aca="false">F14*0_参数!$C$39+F15*0_参数!$C$41+F13*0_参数!$C$56+(F18+F19+F20+F21)*0_参数!$C$58</f>
        <v>202.838440116214</v>
      </c>
      <c r="G30" s="20" t="n">
        <f aca="false">G14*0_参数!$C$39+G15*0_参数!$C$41+G13*0_参数!$C$56+(G18+G19+G20+G21)*0_参数!$C$58</f>
        <v>202.838440116214</v>
      </c>
      <c r="H30" s="20" t="n">
        <f aca="false">H14*0_参数!$C$39+H15*0_参数!$C$41+H13*0_参数!$C$56+(H18+H19+H20+H21)*0_参数!$C$58</f>
        <v>256.187496719987</v>
      </c>
      <c r="I30" s="20" t="n">
        <f aca="false">I14*0_参数!$C$39+I15*0_参数!$C$41+I13*0_参数!$C$56+(I18+I19+I20+I21)*0_参数!$C$58</f>
        <v>256.187496719987</v>
      </c>
      <c r="J30" s="20" t="n">
        <f aca="false">J14*0_参数!$C$39+J15*0_参数!$C$41+J13*0_参数!$C$56+(J18+J19+J20+J21)*0_参数!$C$58</f>
        <v>256.187496719987</v>
      </c>
      <c r="K30" s="20" t="n">
        <f aca="false">K14*0_参数!$C$39+K15*0_参数!$C$41+K13*0_参数!$C$56+(K18+K19+K20+K21)*0_参数!$C$58</f>
        <v>309.536553323761</v>
      </c>
      <c r="L30" s="20" t="n">
        <f aca="false">L14*0_参数!$C$39+L15*0_参数!$C$41+L13*0_参数!$C$56+(L18+L19+L20+L21)*0_参数!$C$58</f>
        <v>309.536553323761</v>
      </c>
      <c r="M30" s="20" t="n">
        <f aca="false">M14*0_参数!$C$39+M15*0_参数!$C$41+M13*0_参数!$C$56+(M18+M19+M20+M21)*0_参数!$C$58</f>
        <v>309.536553323761</v>
      </c>
      <c r="N30" s="20" t="n">
        <f aca="false">N14*0_参数!$C$39+N15*0_参数!$C$41+N13*0_参数!$C$56+(N18+N19+N20+N21)*0_参数!$C$58</f>
        <v>309.536553323761</v>
      </c>
      <c r="O30" s="20" t="n">
        <f aca="false">O14*0_参数!$C$39+O15*0_参数!$C$41+O13*0_参数!$C$56+(O18+O19+O20+O21)*0_参数!$C$58</f>
        <v>0</v>
      </c>
      <c r="P30" s="20" t="n">
        <f aca="false">P14*0_参数!$C$39+P15*0_参数!$C$41+P13*0_参数!$C$56+(P18+P19+P20+P21)*0_参数!$C$58</f>
        <v>0</v>
      </c>
      <c r="Q30" s="20" t="n">
        <f aca="false">Q14*0_参数!$C$39+Q15*0_参数!$C$41+Q13*0_参数!$C$56+(Q18+Q19+Q20+Q21)*0_参数!$C$58</f>
        <v>0</v>
      </c>
      <c r="R30" s="20" t="n">
        <f aca="false">R14*0_参数!$C$39+R15*0_参数!$C$41+R13*0_参数!$C$56+(R18+R19+R20+R21)*0_参数!$C$58</f>
        <v>0</v>
      </c>
      <c r="S30" s="20" t="n">
        <f aca="false">S14*0_参数!$C$39+S15*0_参数!$C$41+S13*0_参数!$C$56+(S18+S19+S20+S21)*0_参数!$C$58</f>
        <v>0</v>
      </c>
      <c r="T30" s="20" t="n">
        <f aca="false">T14*0_参数!$C$39+T15*0_参数!$C$41+T13*0_参数!$C$56+(T18+T19+T20+T21)*0_参数!$C$58</f>
        <v>0</v>
      </c>
      <c r="U30" s="20" t="n">
        <f aca="false">U14*0_参数!$C$39+U15*0_参数!$C$41+U13*0_参数!$C$56+(U18+U19+U20+U21)*0_参数!$C$58</f>
        <v>0</v>
      </c>
      <c r="V30" s="20" t="n">
        <f aca="false">IFERROR(SUMIF(D$4:U$4,"运营",D30:U30)/0_参数!$C$10,0)</f>
        <v>260.505217351834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21" min="4" style="0" width="11"/>
    <col collapsed="false" customWidth="true" hidden="false" outlineLevel="0" max="22" min="22" style="0" width="13"/>
  </cols>
  <sheetData>
    <row r="1" customFormat="false" ht="21.6" hidden="false" customHeight="false" outlineLevel="0" collapsed="false">
      <c r="A1" s="6" t="s">
        <v>680</v>
      </c>
    </row>
    <row r="2" customFormat="false" ht="15" hidden="false" customHeight="false" outlineLevel="0" collapsed="false">
      <c r="A2" s="7" t="s">
        <v>681</v>
      </c>
    </row>
    <row r="3" customFormat="false" ht="15" hidden="false" customHeight="false" outlineLevel="0" collapsed="false">
      <c r="A3" s="27" t="s">
        <v>25</v>
      </c>
      <c r="B3" s="27" t="s">
        <v>611</v>
      </c>
      <c r="C3" s="27" t="s">
        <v>612</v>
      </c>
      <c r="D3" s="61" t="n">
        <v>1</v>
      </c>
      <c r="E3" s="61" t="n">
        <f aca="false">D3+1</f>
        <v>2</v>
      </c>
      <c r="F3" s="61" t="n">
        <f aca="false">E3+1</f>
        <v>3</v>
      </c>
      <c r="G3" s="61" t="n">
        <f aca="false">F3+1</f>
        <v>4</v>
      </c>
      <c r="H3" s="61" t="n">
        <f aca="false">G3+1</f>
        <v>5</v>
      </c>
      <c r="I3" s="61" t="n">
        <f aca="false">H3+1</f>
        <v>6</v>
      </c>
      <c r="J3" s="61" t="n">
        <f aca="false">I3+1</f>
        <v>7</v>
      </c>
      <c r="K3" s="61" t="n">
        <f aca="false">J3+1</f>
        <v>8</v>
      </c>
      <c r="L3" s="61" t="n">
        <f aca="false">K3+1</f>
        <v>9</v>
      </c>
      <c r="M3" s="61" t="n">
        <f aca="false">L3+1</f>
        <v>10</v>
      </c>
      <c r="N3" s="61" t="n">
        <f aca="false">M3+1</f>
        <v>11</v>
      </c>
      <c r="O3" s="61" t="n">
        <f aca="false">N3+1</f>
        <v>12</v>
      </c>
      <c r="P3" s="61" t="n">
        <f aca="false">O3+1</f>
        <v>13</v>
      </c>
      <c r="Q3" s="61" t="n">
        <f aca="false">P3+1</f>
        <v>14</v>
      </c>
      <c r="R3" s="61" t="n">
        <f aca="false">Q3+1</f>
        <v>15</v>
      </c>
      <c r="S3" s="61" t="n">
        <f aca="false">R3+1</f>
        <v>16</v>
      </c>
      <c r="T3" s="61" t="n">
        <f aca="false">S3+1</f>
        <v>17</v>
      </c>
      <c r="U3" s="61" t="n">
        <f aca="false">T3+1</f>
        <v>18</v>
      </c>
      <c r="V3" s="8" t="s">
        <v>613</v>
      </c>
    </row>
    <row r="4" customFormat="false" ht="15" hidden="false" customHeight="false" outlineLevel="0" collapsed="false">
      <c r="A4" s="62"/>
      <c r="B4" s="27" t="s">
        <v>614</v>
      </c>
      <c r="C4" s="62"/>
      <c r="D4" s="63" t="str">
        <f aca="false">IF(D$3&lt;=0_参数!$C$9,"建设",IF(D$3&lt;=0_参数!$C$9+0_参数!$C$10,"运营",""))</f>
        <v>建设</v>
      </c>
      <c r="E4" s="63" t="str">
        <f aca="false">IF(E$3&lt;=0_参数!$C$9,"建设",IF(E$3&lt;=0_参数!$C$9+0_参数!$C$10,"运营",""))</f>
        <v>运营</v>
      </c>
      <c r="F4" s="63" t="str">
        <f aca="false">IF(F$3&lt;=0_参数!$C$9,"建设",IF(F$3&lt;=0_参数!$C$9+0_参数!$C$10,"运营",""))</f>
        <v>运营</v>
      </c>
      <c r="G4" s="63" t="str">
        <f aca="false">IF(G$3&lt;=0_参数!$C$9,"建设",IF(G$3&lt;=0_参数!$C$9+0_参数!$C$10,"运营",""))</f>
        <v>运营</v>
      </c>
      <c r="H4" s="63" t="str">
        <f aca="false">IF(H$3&lt;=0_参数!$C$9,"建设",IF(H$3&lt;=0_参数!$C$9+0_参数!$C$10,"运营",""))</f>
        <v>运营</v>
      </c>
      <c r="I4" s="63" t="str">
        <f aca="false">IF(I$3&lt;=0_参数!$C$9,"建设",IF(I$3&lt;=0_参数!$C$9+0_参数!$C$10,"运营",""))</f>
        <v>运营</v>
      </c>
      <c r="J4" s="63" t="str">
        <f aca="false">IF(J$3&lt;=0_参数!$C$9,"建设",IF(J$3&lt;=0_参数!$C$9+0_参数!$C$10,"运营",""))</f>
        <v>运营</v>
      </c>
      <c r="K4" s="63" t="str">
        <f aca="false">IF(K$3&lt;=0_参数!$C$9,"建设",IF(K$3&lt;=0_参数!$C$9+0_参数!$C$10,"运营",""))</f>
        <v>运营</v>
      </c>
      <c r="L4" s="63" t="str">
        <f aca="false">IF(L$3&lt;=0_参数!$C$9,"建设",IF(L$3&lt;=0_参数!$C$9+0_参数!$C$10,"运营",""))</f>
        <v>运营</v>
      </c>
      <c r="M4" s="63" t="str">
        <f aca="false">IF(M$3&lt;=0_参数!$C$9,"建设",IF(M$3&lt;=0_参数!$C$9+0_参数!$C$10,"运营",""))</f>
        <v>运营</v>
      </c>
      <c r="N4" s="63" t="str">
        <f aca="false">IF(N$3&lt;=0_参数!$C$9,"建设",IF(N$3&lt;=0_参数!$C$9+0_参数!$C$10,"运营",""))</f>
        <v>运营</v>
      </c>
      <c r="O4" s="63" t="str">
        <f aca="false">IF(O$3&lt;=0_参数!$C$9,"建设",IF(O$3&lt;=0_参数!$C$9+0_参数!$C$10,"运营",""))</f>
        <v/>
      </c>
      <c r="P4" s="63" t="str">
        <f aca="false">IF(P$3&lt;=0_参数!$C$9,"建设",IF(P$3&lt;=0_参数!$C$9+0_参数!$C$10,"运营",""))</f>
        <v/>
      </c>
      <c r="Q4" s="63" t="str">
        <f aca="false">IF(Q$3&lt;=0_参数!$C$9,"建设",IF(Q$3&lt;=0_参数!$C$9+0_参数!$C$10,"运营",""))</f>
        <v/>
      </c>
      <c r="R4" s="63" t="str">
        <f aca="false">IF(R$3&lt;=0_参数!$C$9,"建设",IF(R$3&lt;=0_参数!$C$9+0_参数!$C$10,"运营",""))</f>
        <v/>
      </c>
      <c r="S4" s="63" t="str">
        <f aca="false">IF(S$3&lt;=0_参数!$C$9,"建设",IF(S$3&lt;=0_参数!$C$9+0_参数!$C$10,"运营",""))</f>
        <v/>
      </c>
      <c r="T4" s="63" t="str">
        <f aca="false">IF(T$3&lt;=0_参数!$C$9,"建设",IF(T$3&lt;=0_参数!$C$9+0_参数!$C$10,"运营",""))</f>
        <v/>
      </c>
      <c r="U4" s="63" t="str">
        <f aca="false">IF(U$3&lt;=0_参数!$C$9,"建设",IF(U$3&lt;=0_参数!$C$9+0_参数!$C$10,"运营",""))</f>
        <v/>
      </c>
      <c r="V4" s="62"/>
    </row>
    <row r="5" customFormat="false" ht="15" hidden="false" customHeight="false" outlineLevel="0" collapsed="false">
      <c r="A5" s="62"/>
      <c r="B5" s="27" t="s">
        <v>615</v>
      </c>
      <c r="C5" s="62"/>
      <c r="D5" s="64" t="n">
        <f aca="false">IF(D$4="运营",D$3-0_参数!$C$9,0)</f>
        <v>0</v>
      </c>
      <c r="E5" s="64" t="n">
        <f aca="false">IF(E$4="运营",E$3-0_参数!$C$9,0)</f>
        <v>1</v>
      </c>
      <c r="F5" s="64" t="n">
        <f aca="false">IF(F$4="运营",F$3-0_参数!$C$9,0)</f>
        <v>2</v>
      </c>
      <c r="G5" s="64" t="n">
        <f aca="false">IF(G$4="运营",G$3-0_参数!$C$9,0)</f>
        <v>3</v>
      </c>
      <c r="H5" s="64" t="n">
        <f aca="false">IF(H$4="运营",H$3-0_参数!$C$9,0)</f>
        <v>4</v>
      </c>
      <c r="I5" s="64" t="n">
        <f aca="false">IF(I$4="运营",I$3-0_参数!$C$9,0)</f>
        <v>5</v>
      </c>
      <c r="J5" s="64" t="n">
        <f aca="false">IF(J$4="运营",J$3-0_参数!$C$9,0)</f>
        <v>6</v>
      </c>
      <c r="K5" s="64" t="n">
        <f aca="false">IF(K$4="运营",K$3-0_参数!$C$9,0)</f>
        <v>7</v>
      </c>
      <c r="L5" s="64" t="n">
        <f aca="false">IF(L$4="运营",L$3-0_参数!$C$9,0)</f>
        <v>8</v>
      </c>
      <c r="M5" s="64" t="n">
        <f aca="false">IF(M$4="运营",M$3-0_参数!$C$9,0)</f>
        <v>9</v>
      </c>
      <c r="N5" s="64" t="n">
        <f aca="false">IF(N$4="运营",N$3-0_参数!$C$9,0)</f>
        <v>10</v>
      </c>
      <c r="O5" s="64" t="n">
        <f aca="false">IF(O$4="运营",O$3-0_参数!$C$9,0)</f>
        <v>0</v>
      </c>
      <c r="P5" s="64" t="n">
        <f aca="false">IF(P$4="运营",P$3-0_参数!$C$9,0)</f>
        <v>0</v>
      </c>
      <c r="Q5" s="64" t="n">
        <f aca="false">IF(Q$4="运营",Q$3-0_参数!$C$9,0)</f>
        <v>0</v>
      </c>
      <c r="R5" s="64" t="n">
        <f aca="false">IF(R$4="运营",R$3-0_参数!$C$9,0)</f>
        <v>0</v>
      </c>
      <c r="S5" s="64" t="n">
        <f aca="false">IF(S$4="运营",S$3-0_参数!$C$9,0)</f>
        <v>0</v>
      </c>
      <c r="T5" s="64" t="n">
        <f aca="false">IF(T$4="运营",T$3-0_参数!$C$9,0)</f>
        <v>0</v>
      </c>
      <c r="U5" s="64" t="n">
        <f aca="false">IF(U$4="运营",U$3-0_参数!$C$9,0)</f>
        <v>0</v>
      </c>
      <c r="V5" s="62"/>
    </row>
    <row r="6" customFormat="false" ht="15" hidden="false" customHeight="false" outlineLevel="0" collapsed="false">
      <c r="A6" s="62"/>
      <c r="B6" s="27" t="s">
        <v>616</v>
      </c>
      <c r="C6" s="62"/>
      <c r="D6" s="65" t="n">
        <f aca="false">IF(D$4="建设",D$3,0)</f>
        <v>1</v>
      </c>
      <c r="E6" s="65" t="n">
        <f aca="false">IF(E$4="建设",E$3,0)</f>
        <v>0</v>
      </c>
      <c r="F6" s="65" t="n">
        <f aca="false">IF(F$4="建设",F$3,0)</f>
        <v>0</v>
      </c>
      <c r="G6" s="65" t="n">
        <f aca="false">IF(G$4="建设",G$3,0)</f>
        <v>0</v>
      </c>
      <c r="H6" s="65" t="n">
        <f aca="false">IF(H$4="建设",H$3,0)</f>
        <v>0</v>
      </c>
      <c r="I6" s="65" t="n">
        <f aca="false">IF(I$4="建设",I$3,0)</f>
        <v>0</v>
      </c>
      <c r="J6" s="65" t="n">
        <f aca="false">IF(J$4="建设",J$3,0)</f>
        <v>0</v>
      </c>
      <c r="K6" s="65" t="n">
        <f aca="false">IF(K$4="建设",K$3,0)</f>
        <v>0</v>
      </c>
      <c r="L6" s="65" t="n">
        <f aca="false">IF(L$4="建设",L$3,0)</f>
        <v>0</v>
      </c>
      <c r="M6" s="65" t="n">
        <f aca="false">IF(M$4="建设",M$3,0)</f>
        <v>0</v>
      </c>
      <c r="N6" s="65" t="n">
        <f aca="false">IF(N$4="建设",N$3,0)</f>
        <v>0</v>
      </c>
      <c r="O6" s="65" t="n">
        <f aca="false">IF(O$4="建设",O$3,0)</f>
        <v>0</v>
      </c>
      <c r="P6" s="65" t="n">
        <f aca="false">IF(P$4="建设",P$3,0)</f>
        <v>0</v>
      </c>
      <c r="Q6" s="65" t="n">
        <f aca="false">IF(Q$4="建设",Q$3,0)</f>
        <v>0</v>
      </c>
      <c r="R6" s="65" t="n">
        <f aca="false">IF(R$4="建设",R$3,0)</f>
        <v>0</v>
      </c>
      <c r="S6" s="65" t="n">
        <f aca="false">IF(S$4="建设",S$3,0)</f>
        <v>0</v>
      </c>
      <c r="T6" s="65" t="n">
        <f aca="false">IF(T$4="建设",T$3,0)</f>
        <v>0</v>
      </c>
      <c r="U6" s="65" t="n">
        <f aca="false">IF(U$4="建设",U$3,0)</f>
        <v>0</v>
      </c>
      <c r="V6" s="62"/>
    </row>
    <row r="7" customFormat="false" ht="15" hidden="false" customHeight="false" outlineLevel="0" collapsed="false">
      <c r="B7" s="56" t="s">
        <v>682</v>
      </c>
    </row>
    <row r="8" customFormat="false" ht="15" hidden="false" customHeight="false" outlineLevel="0" collapsed="false">
      <c r="B8" s="14" t="s">
        <v>683</v>
      </c>
      <c r="C8" s="20" t="n">
        <f aca="false">1_总投资估算!$F$44-1_总投资估算!$F$38</f>
        <v>2579.63302752294</v>
      </c>
    </row>
    <row r="9" customFormat="false" ht="15" hidden="false" customHeight="false" outlineLevel="0" collapsed="false">
      <c r="B9" s="14" t="s">
        <v>684</v>
      </c>
      <c r="C9" s="20" t="n">
        <f aca="false">1_总投资估算!$F$43-IF(0_参数!$C$77=1,1_总投资估算!$F$43/(1+0_参数!$C$81)*0_参数!$C$81,0)</f>
        <v>11860.1769911504</v>
      </c>
    </row>
    <row r="10" customFormat="false" ht="15" hidden="false" customHeight="false" outlineLevel="0" collapsed="false">
      <c r="B10" s="14" t="s">
        <v>685</v>
      </c>
      <c r="C10" s="20" t="n">
        <f aca="false">1_总投资估算!$F$42-IF(0_参数!$C$77=1,1_总投资估算!$F$42/(1+0_参数!$C$81)*0_参数!$C$81,0)</f>
        <v>83407.0796460177</v>
      </c>
    </row>
    <row r="11" customFormat="false" ht="15" hidden="false" customHeight="false" outlineLevel="0" collapsed="false">
      <c r="B11" s="14" t="s">
        <v>686</v>
      </c>
      <c r="C11" s="20" t="n">
        <f aca="false">1_总投资估算!$F$40+1_总投资估算!$G$26+1_总投资估算!$G$30</f>
        <v>13447.161151915</v>
      </c>
    </row>
    <row r="12" customFormat="false" ht="15" hidden="false" customHeight="false" outlineLevel="0" collapsed="false">
      <c r="B12" s="14" t="s">
        <v>687</v>
      </c>
      <c r="C12" s="46" t="n">
        <f aca="false">C8+C11*C8/(C8+C9+C10)</f>
        <v>2934.15365820192</v>
      </c>
    </row>
    <row r="13" customFormat="false" ht="15" hidden="false" customHeight="false" outlineLevel="0" collapsed="false">
      <c r="B13" s="14" t="s">
        <v>688</v>
      </c>
      <c r="C13" s="46" t="n">
        <f aca="false">C9+C11*C9/(C8+C9+C10)</f>
        <v>13490.1287641375</v>
      </c>
    </row>
    <row r="14" customFormat="false" ht="15" hidden="false" customHeight="false" outlineLevel="0" collapsed="false">
      <c r="B14" s="14" t="s">
        <v>689</v>
      </c>
      <c r="C14" s="46" t="n">
        <f aca="false">C10+C11*C10/(C8+C9+C10)</f>
        <v>94869.7683942666</v>
      </c>
    </row>
    <row r="15" customFormat="false" ht="15" hidden="false" customHeight="false" outlineLevel="0" collapsed="false">
      <c r="B15" s="54" t="s">
        <v>690</v>
      </c>
      <c r="C15" s="55" t="n">
        <f aca="false">C12+C13+C14</f>
        <v>111294.050816606</v>
      </c>
    </row>
    <row r="16" customFormat="false" ht="15" hidden="false" customHeight="false" outlineLevel="0" collapsed="false">
      <c r="B16" s="14" t="s">
        <v>691</v>
      </c>
      <c r="C16" s="20" t="n">
        <f aca="false">1_总投资估算!$F$41</f>
        <v>42.3</v>
      </c>
    </row>
    <row r="18" customFormat="false" ht="15" hidden="false" customHeight="false" outlineLevel="0" collapsed="false">
      <c r="A18" s="13" t="s">
        <v>30</v>
      </c>
      <c r="B18" s="14" t="s">
        <v>692</v>
      </c>
      <c r="C18" s="14" t="s">
        <v>95</v>
      </c>
      <c r="D18" s="20" t="n">
        <f aca="false">IF(AND(D$4="运营",D$5&lt;=0_参数!$C$72),5_折旧摊销!$C$12*(1-0_参数!$C$75)/0_参数!$C$72,0)</f>
        <v>0</v>
      </c>
      <c r="E18" s="20" t="n">
        <f aca="false">IF(AND(E$4="运营",E$5&lt;=0_参数!$C$72),5_折旧摊销!$C$12*(1-0_参数!$C$75)/0_参数!$C$72,0)</f>
        <v>139.372298764591</v>
      </c>
      <c r="F18" s="20" t="n">
        <f aca="false">IF(AND(F$4="运营",F$5&lt;=0_参数!$C$72),5_折旧摊销!$C$12*(1-0_参数!$C$75)/0_参数!$C$72,0)</f>
        <v>139.372298764591</v>
      </c>
      <c r="G18" s="20" t="n">
        <f aca="false">IF(AND(G$4="运营",G$5&lt;=0_参数!$C$72),5_折旧摊销!$C$12*(1-0_参数!$C$75)/0_参数!$C$72,0)</f>
        <v>139.372298764591</v>
      </c>
      <c r="H18" s="20" t="n">
        <f aca="false">IF(AND(H$4="运营",H$5&lt;=0_参数!$C$72),5_折旧摊销!$C$12*(1-0_参数!$C$75)/0_参数!$C$72,0)</f>
        <v>139.372298764591</v>
      </c>
      <c r="I18" s="20" t="n">
        <f aca="false">IF(AND(I$4="运营",I$5&lt;=0_参数!$C$72),5_折旧摊销!$C$12*(1-0_参数!$C$75)/0_参数!$C$72,0)</f>
        <v>139.372298764591</v>
      </c>
      <c r="J18" s="20" t="n">
        <f aca="false">IF(AND(J$4="运营",J$5&lt;=0_参数!$C$72),5_折旧摊销!$C$12*(1-0_参数!$C$75)/0_参数!$C$72,0)</f>
        <v>139.372298764591</v>
      </c>
      <c r="K18" s="20" t="n">
        <f aca="false">IF(AND(K$4="运营",K$5&lt;=0_参数!$C$72),5_折旧摊销!$C$12*(1-0_参数!$C$75)/0_参数!$C$72,0)</f>
        <v>139.372298764591</v>
      </c>
      <c r="L18" s="20" t="n">
        <f aca="false">IF(AND(L$4="运营",L$5&lt;=0_参数!$C$72),5_折旧摊销!$C$12*(1-0_参数!$C$75)/0_参数!$C$72,0)</f>
        <v>139.372298764591</v>
      </c>
      <c r="M18" s="20" t="n">
        <f aca="false">IF(AND(M$4="运营",M$5&lt;=0_参数!$C$72),5_折旧摊销!$C$12*(1-0_参数!$C$75)/0_参数!$C$72,0)</f>
        <v>139.372298764591</v>
      </c>
      <c r="N18" s="20" t="n">
        <f aca="false">IF(AND(N$4="运营",N$5&lt;=0_参数!$C$72),5_折旧摊销!$C$12*(1-0_参数!$C$75)/0_参数!$C$72,0)</f>
        <v>139.372298764591</v>
      </c>
      <c r="O18" s="20" t="n">
        <f aca="false">IF(AND(O$4="运营",O$5&lt;=0_参数!$C$72),5_折旧摊销!$C$12*(1-0_参数!$C$75)/0_参数!$C$72,0)</f>
        <v>0</v>
      </c>
      <c r="P18" s="20" t="n">
        <f aca="false">IF(AND(P$4="运营",P$5&lt;=0_参数!$C$72),5_折旧摊销!$C$12*(1-0_参数!$C$75)/0_参数!$C$72,0)</f>
        <v>0</v>
      </c>
      <c r="Q18" s="20" t="n">
        <f aca="false">IF(AND(Q$4="运营",Q$5&lt;=0_参数!$C$72),5_折旧摊销!$C$12*(1-0_参数!$C$75)/0_参数!$C$72,0)</f>
        <v>0</v>
      </c>
      <c r="R18" s="20" t="n">
        <f aca="false">IF(AND(R$4="运营",R$5&lt;=0_参数!$C$72),5_折旧摊销!$C$12*(1-0_参数!$C$75)/0_参数!$C$72,0)</f>
        <v>0</v>
      </c>
      <c r="S18" s="20" t="n">
        <f aca="false">IF(AND(S$4="运营",S$5&lt;=0_参数!$C$72),5_折旧摊销!$C$12*(1-0_参数!$C$75)/0_参数!$C$72,0)</f>
        <v>0</v>
      </c>
      <c r="T18" s="20" t="n">
        <f aca="false">IF(AND(T$4="运营",T$5&lt;=0_参数!$C$72),5_折旧摊销!$C$12*(1-0_参数!$C$75)/0_参数!$C$72,0)</f>
        <v>0</v>
      </c>
      <c r="U18" s="20" t="n">
        <f aca="false">IF(AND(U$4="运营",U$5&lt;=0_参数!$C$72),5_折旧摊销!$C$12*(1-0_参数!$C$75)/0_参数!$C$72,0)</f>
        <v>0</v>
      </c>
      <c r="V18" s="46" t="n">
        <f aca="false">SUM(D18:U18)</f>
        <v>1393.72298764591</v>
      </c>
    </row>
    <row r="19" customFormat="false" ht="15" hidden="false" customHeight="false" outlineLevel="0" collapsed="false">
      <c r="A19" s="14"/>
      <c r="B19" s="14" t="s">
        <v>693</v>
      </c>
      <c r="C19" s="14" t="s">
        <v>95</v>
      </c>
      <c r="D19" s="20" t="n">
        <f aca="false">IF(D$4="",0,5_折旧摊销!$C$12-SUM($D18:D18))</f>
        <v>2934.15365820192</v>
      </c>
      <c r="E19" s="20" t="n">
        <f aca="false">IF(E$4="",0,5_折旧摊销!$C$12-SUM($D18:E18))</f>
        <v>2794.78135943733</v>
      </c>
      <c r="F19" s="20" t="n">
        <f aca="false">IF(F$4="",0,5_折旧摊销!$C$12-SUM($D18:F18))</f>
        <v>2655.40906067274</v>
      </c>
      <c r="G19" s="20" t="n">
        <f aca="false">IF(G$4="",0,5_折旧摊销!$C$12-SUM($D18:G18))</f>
        <v>2516.03676190815</v>
      </c>
      <c r="H19" s="20" t="n">
        <f aca="false">IF(H$4="",0,5_折旧摊销!$C$12-SUM($D18:H18))</f>
        <v>2376.66446314356</v>
      </c>
      <c r="I19" s="20" t="n">
        <f aca="false">IF(I$4="",0,5_折旧摊销!$C$12-SUM($D18:I18))</f>
        <v>2237.29216437896</v>
      </c>
      <c r="J19" s="20" t="n">
        <f aca="false">IF(J$4="",0,5_折旧摊销!$C$12-SUM($D18:J18))</f>
        <v>2097.91986561437</v>
      </c>
      <c r="K19" s="20" t="n">
        <f aca="false">IF(K$4="",0,5_折旧摊销!$C$12-SUM($D18:K18))</f>
        <v>1958.54756684978</v>
      </c>
      <c r="L19" s="20" t="n">
        <f aca="false">IF(L$4="",0,5_折旧摊销!$C$12-SUM($D18:L18))</f>
        <v>1819.17526808519</v>
      </c>
      <c r="M19" s="20" t="n">
        <f aca="false">IF(M$4="",0,5_折旧摊销!$C$12-SUM($D18:M18))</f>
        <v>1679.8029693206</v>
      </c>
      <c r="N19" s="20" t="n">
        <f aca="false">IF(N$4="",0,5_折旧摊销!$C$12-SUM($D18:N18))</f>
        <v>1540.43067055601</v>
      </c>
      <c r="O19" s="20" t="n">
        <f aca="false">IF(O$4="",0,5_折旧摊销!$C$12-SUM($D18:O18))</f>
        <v>0</v>
      </c>
      <c r="P19" s="20" t="n">
        <f aca="false">IF(P$4="",0,5_折旧摊销!$C$12-SUM($D18:P18))</f>
        <v>0</v>
      </c>
      <c r="Q19" s="20" t="n">
        <f aca="false">IF(Q$4="",0,5_折旧摊销!$C$12-SUM($D18:Q18))</f>
        <v>0</v>
      </c>
      <c r="R19" s="20" t="n">
        <f aca="false">IF(R$4="",0,5_折旧摊销!$C$12-SUM($D18:R18))</f>
        <v>0</v>
      </c>
      <c r="S19" s="20" t="n">
        <f aca="false">IF(S$4="",0,5_折旧摊销!$C$12-SUM($D18:S18))</f>
        <v>0</v>
      </c>
      <c r="T19" s="20" t="n">
        <f aca="false">IF(T$4="",0,5_折旧摊销!$C$12-SUM($D18:T18))</f>
        <v>0</v>
      </c>
      <c r="U19" s="20" t="n">
        <f aca="false">IF(U$4="",0,5_折旧摊销!$C$12-SUM($D18:U18))</f>
        <v>0</v>
      </c>
      <c r="V19" s="20" t="n">
        <f aca="false">INDEX(D19:U19,0_参数!$C$9+0_参数!$C$10)</f>
        <v>1540.43067055601</v>
      </c>
    </row>
    <row r="20" customFormat="false" ht="15" hidden="false" customHeight="false" outlineLevel="0" collapsed="false">
      <c r="A20" s="13" t="s">
        <v>56</v>
      </c>
      <c r="B20" s="14" t="s">
        <v>694</v>
      </c>
      <c r="C20" s="14" t="s">
        <v>95</v>
      </c>
      <c r="D20" s="20" t="n">
        <f aca="false">IF(AND(D$4="运营",D$5&lt;=0_参数!$C$73),5_折旧摊销!$C$13*(1-0_参数!$C$75)/0_参数!$C$73,0)</f>
        <v>0</v>
      </c>
      <c r="E20" s="20" t="n">
        <f aca="false">IF(AND(E$4="运营",E$5&lt;=0_参数!$C$73),5_折旧摊销!$C$13*(1-0_参数!$C$75)/0_参数!$C$73,0)</f>
        <v>854.37482172871</v>
      </c>
      <c r="F20" s="20" t="n">
        <f aca="false">IF(AND(F$4="运营",F$5&lt;=0_参数!$C$73),5_折旧摊销!$C$13*(1-0_参数!$C$75)/0_参数!$C$73,0)</f>
        <v>854.37482172871</v>
      </c>
      <c r="G20" s="20" t="n">
        <f aca="false">IF(AND(G$4="运营",G$5&lt;=0_参数!$C$73),5_折旧摊销!$C$13*(1-0_参数!$C$75)/0_参数!$C$73,0)</f>
        <v>854.37482172871</v>
      </c>
      <c r="H20" s="20" t="n">
        <f aca="false">IF(AND(H$4="运营",H$5&lt;=0_参数!$C$73),5_折旧摊销!$C$13*(1-0_参数!$C$75)/0_参数!$C$73,0)</f>
        <v>854.37482172871</v>
      </c>
      <c r="I20" s="20" t="n">
        <f aca="false">IF(AND(I$4="运营",I$5&lt;=0_参数!$C$73),5_折旧摊销!$C$13*(1-0_参数!$C$75)/0_参数!$C$73,0)</f>
        <v>854.37482172871</v>
      </c>
      <c r="J20" s="20" t="n">
        <f aca="false">IF(AND(J$4="运营",J$5&lt;=0_参数!$C$73),5_折旧摊销!$C$13*(1-0_参数!$C$75)/0_参数!$C$73,0)</f>
        <v>854.37482172871</v>
      </c>
      <c r="K20" s="20" t="n">
        <f aca="false">IF(AND(K$4="运营",K$5&lt;=0_参数!$C$73),5_折旧摊销!$C$13*(1-0_参数!$C$75)/0_参数!$C$73,0)</f>
        <v>854.37482172871</v>
      </c>
      <c r="L20" s="20" t="n">
        <f aca="false">IF(AND(L$4="运营",L$5&lt;=0_参数!$C$73),5_折旧摊销!$C$13*(1-0_参数!$C$75)/0_参数!$C$73,0)</f>
        <v>854.37482172871</v>
      </c>
      <c r="M20" s="20" t="n">
        <f aca="false">IF(AND(M$4="运营",M$5&lt;=0_参数!$C$73),5_折旧摊销!$C$13*(1-0_参数!$C$75)/0_参数!$C$73,0)</f>
        <v>854.37482172871</v>
      </c>
      <c r="N20" s="20" t="n">
        <f aca="false">IF(AND(N$4="运营",N$5&lt;=0_参数!$C$73),5_折旧摊销!$C$13*(1-0_参数!$C$75)/0_参数!$C$73,0)</f>
        <v>854.37482172871</v>
      </c>
      <c r="O20" s="20" t="n">
        <f aca="false">IF(AND(O$4="运营",O$5&lt;=0_参数!$C$73),5_折旧摊销!$C$13*(1-0_参数!$C$75)/0_参数!$C$73,0)</f>
        <v>0</v>
      </c>
      <c r="P20" s="20" t="n">
        <f aca="false">IF(AND(P$4="运营",P$5&lt;=0_参数!$C$73),5_折旧摊销!$C$13*(1-0_参数!$C$75)/0_参数!$C$73,0)</f>
        <v>0</v>
      </c>
      <c r="Q20" s="20" t="n">
        <f aca="false">IF(AND(Q$4="运营",Q$5&lt;=0_参数!$C$73),5_折旧摊销!$C$13*(1-0_参数!$C$75)/0_参数!$C$73,0)</f>
        <v>0</v>
      </c>
      <c r="R20" s="20" t="n">
        <f aca="false">IF(AND(R$4="运营",R$5&lt;=0_参数!$C$73),5_折旧摊销!$C$13*(1-0_参数!$C$75)/0_参数!$C$73,0)</f>
        <v>0</v>
      </c>
      <c r="S20" s="20" t="n">
        <f aca="false">IF(AND(S$4="运营",S$5&lt;=0_参数!$C$73),5_折旧摊销!$C$13*(1-0_参数!$C$75)/0_参数!$C$73,0)</f>
        <v>0</v>
      </c>
      <c r="T20" s="20" t="n">
        <f aca="false">IF(AND(T$4="运营",T$5&lt;=0_参数!$C$73),5_折旧摊销!$C$13*(1-0_参数!$C$75)/0_参数!$C$73,0)</f>
        <v>0</v>
      </c>
      <c r="U20" s="20" t="n">
        <f aca="false">IF(AND(U$4="运营",U$5&lt;=0_参数!$C$73),5_折旧摊销!$C$13*(1-0_参数!$C$75)/0_参数!$C$73,0)</f>
        <v>0</v>
      </c>
      <c r="V20" s="46" t="n">
        <f aca="false">SUM(D20:U20)</f>
        <v>8543.7482172871</v>
      </c>
    </row>
    <row r="21" customFormat="false" ht="15" hidden="false" customHeight="false" outlineLevel="0" collapsed="false">
      <c r="A21" s="14"/>
      <c r="B21" s="14" t="s">
        <v>695</v>
      </c>
      <c r="C21" s="14" t="s">
        <v>95</v>
      </c>
      <c r="D21" s="20" t="n">
        <f aca="false">IF(D$4="",0,5_折旧摊销!$C$13-SUM($D20:D20))</f>
        <v>13490.1287641375</v>
      </c>
      <c r="E21" s="20" t="n">
        <f aca="false">IF(E$4="",0,5_折旧摊销!$C$13-SUM($D20:E20))</f>
        <v>12635.7539424088</v>
      </c>
      <c r="F21" s="20" t="n">
        <f aca="false">IF(F$4="",0,5_折旧摊销!$C$13-SUM($D20:F20))</f>
        <v>11781.3791206801</v>
      </c>
      <c r="G21" s="20" t="n">
        <f aca="false">IF(G$4="",0,5_折旧摊销!$C$13-SUM($D20:G20))</f>
        <v>10927.0042989514</v>
      </c>
      <c r="H21" s="20" t="n">
        <f aca="false">IF(H$4="",0,5_折旧摊销!$C$13-SUM($D20:H20))</f>
        <v>10072.6294772227</v>
      </c>
      <c r="I21" s="20" t="n">
        <f aca="false">IF(I$4="",0,5_折旧摊销!$C$13-SUM($D20:I20))</f>
        <v>9218.25465549397</v>
      </c>
      <c r="J21" s="20" t="n">
        <f aca="false">IF(J$4="",0,5_折旧摊销!$C$13-SUM($D20:J20))</f>
        <v>8363.87983376526</v>
      </c>
      <c r="K21" s="20" t="n">
        <f aca="false">IF(K$4="",0,5_折旧摊销!$C$13-SUM($D20:K20))</f>
        <v>7509.50501203655</v>
      </c>
      <c r="L21" s="20" t="n">
        <f aca="false">IF(L$4="",0,5_折旧摊销!$C$13-SUM($D20:L20))</f>
        <v>6655.13019030784</v>
      </c>
      <c r="M21" s="20" t="n">
        <f aca="false">IF(M$4="",0,5_折旧摊销!$C$13-SUM($D20:M20))</f>
        <v>5800.75536857913</v>
      </c>
      <c r="N21" s="20" t="n">
        <f aca="false">IF(N$4="",0,5_折旧摊销!$C$13-SUM($D20:N20))</f>
        <v>4946.38054685042</v>
      </c>
      <c r="O21" s="20" t="n">
        <f aca="false">IF(O$4="",0,5_折旧摊销!$C$13-SUM($D20:O20))</f>
        <v>0</v>
      </c>
      <c r="P21" s="20" t="n">
        <f aca="false">IF(P$4="",0,5_折旧摊销!$C$13-SUM($D20:P20))</f>
        <v>0</v>
      </c>
      <c r="Q21" s="20" t="n">
        <f aca="false">IF(Q$4="",0,5_折旧摊销!$C$13-SUM($D20:Q20))</f>
        <v>0</v>
      </c>
      <c r="R21" s="20" t="n">
        <f aca="false">IF(R$4="",0,5_折旧摊销!$C$13-SUM($D20:R20))</f>
        <v>0</v>
      </c>
      <c r="S21" s="20" t="n">
        <f aca="false">IF(S$4="",0,5_折旧摊销!$C$13-SUM($D20:S20))</f>
        <v>0</v>
      </c>
      <c r="T21" s="20" t="n">
        <f aca="false">IF(T$4="",0,5_折旧摊销!$C$13-SUM($D20:T20))</f>
        <v>0</v>
      </c>
      <c r="U21" s="20" t="n">
        <f aca="false">IF(U$4="",0,5_折旧摊销!$C$13-SUM($D20:U20))</f>
        <v>0</v>
      </c>
      <c r="V21" s="20" t="n">
        <f aca="false">INDEX(D21:U21,0_参数!$C$9+0_参数!$C$10)</f>
        <v>4946.38054685042</v>
      </c>
    </row>
    <row r="22" customFormat="false" ht="15" hidden="false" customHeight="false" outlineLevel="0" collapsed="false">
      <c r="A22" s="13" t="s">
        <v>78</v>
      </c>
      <c r="B22" s="14" t="s">
        <v>696</v>
      </c>
      <c r="C22" s="14" t="s">
        <v>95</v>
      </c>
      <c r="D22" s="20" t="n">
        <f aca="false">IF(AND(D$4="运营",D$5&lt;=0_参数!$C$74),5_折旧摊销!$C$14*(1-0_参数!$C$75)/0_参数!$C$74,0)</f>
        <v>0</v>
      </c>
      <c r="E22" s="20" t="n">
        <f aca="false">IF(AND(E$4="运营",E$5&lt;=0_参数!$C$74),5_折旧摊销!$C$14*(1-0_参数!$C$75)/0_参数!$C$74,0)</f>
        <v>18025.2559949107</v>
      </c>
      <c r="F22" s="20" t="n">
        <f aca="false">IF(AND(F$4="运营",F$5&lt;=0_参数!$C$74),5_折旧摊销!$C$14*(1-0_参数!$C$75)/0_参数!$C$74,0)</f>
        <v>18025.2559949107</v>
      </c>
      <c r="G22" s="20" t="n">
        <f aca="false">IF(AND(G$4="运营",G$5&lt;=0_参数!$C$74),5_折旧摊销!$C$14*(1-0_参数!$C$75)/0_参数!$C$74,0)</f>
        <v>18025.2559949107</v>
      </c>
      <c r="H22" s="20" t="n">
        <f aca="false">IF(AND(H$4="运营",H$5&lt;=0_参数!$C$74),5_折旧摊销!$C$14*(1-0_参数!$C$75)/0_参数!$C$74,0)</f>
        <v>18025.2559949107</v>
      </c>
      <c r="I22" s="20" t="n">
        <f aca="false">IF(AND(I$4="运营",I$5&lt;=0_参数!$C$74),5_折旧摊销!$C$14*(1-0_参数!$C$75)/0_参数!$C$74,0)</f>
        <v>18025.2559949107</v>
      </c>
      <c r="J22" s="20" t="n">
        <f aca="false">IF(AND(J$4="运营",J$5&lt;=0_参数!$C$74),5_折旧摊销!$C$14*(1-0_参数!$C$75)/0_参数!$C$74,0)</f>
        <v>0</v>
      </c>
      <c r="K22" s="20" t="n">
        <f aca="false">IF(AND(K$4="运营",K$5&lt;=0_参数!$C$74),5_折旧摊销!$C$14*(1-0_参数!$C$75)/0_参数!$C$74,0)</f>
        <v>0</v>
      </c>
      <c r="L22" s="20" t="n">
        <f aca="false">IF(AND(L$4="运营",L$5&lt;=0_参数!$C$74),5_折旧摊销!$C$14*(1-0_参数!$C$75)/0_参数!$C$74,0)</f>
        <v>0</v>
      </c>
      <c r="M22" s="20" t="n">
        <f aca="false">IF(AND(M$4="运营",M$5&lt;=0_参数!$C$74),5_折旧摊销!$C$14*(1-0_参数!$C$75)/0_参数!$C$74,0)</f>
        <v>0</v>
      </c>
      <c r="N22" s="20" t="n">
        <f aca="false">IF(AND(N$4="运营",N$5&lt;=0_参数!$C$74),5_折旧摊销!$C$14*(1-0_参数!$C$75)/0_参数!$C$74,0)</f>
        <v>0</v>
      </c>
      <c r="O22" s="20" t="n">
        <f aca="false">IF(AND(O$4="运营",O$5&lt;=0_参数!$C$74),5_折旧摊销!$C$14*(1-0_参数!$C$75)/0_参数!$C$74,0)</f>
        <v>0</v>
      </c>
      <c r="P22" s="20" t="n">
        <f aca="false">IF(AND(P$4="运营",P$5&lt;=0_参数!$C$74),5_折旧摊销!$C$14*(1-0_参数!$C$75)/0_参数!$C$74,0)</f>
        <v>0</v>
      </c>
      <c r="Q22" s="20" t="n">
        <f aca="false">IF(AND(Q$4="运营",Q$5&lt;=0_参数!$C$74),5_折旧摊销!$C$14*(1-0_参数!$C$75)/0_参数!$C$74,0)</f>
        <v>0</v>
      </c>
      <c r="R22" s="20" t="n">
        <f aca="false">IF(AND(R$4="运营",R$5&lt;=0_参数!$C$74),5_折旧摊销!$C$14*(1-0_参数!$C$75)/0_参数!$C$74,0)</f>
        <v>0</v>
      </c>
      <c r="S22" s="20" t="n">
        <f aca="false">IF(AND(S$4="运营",S$5&lt;=0_参数!$C$74),5_折旧摊销!$C$14*(1-0_参数!$C$75)/0_参数!$C$74,0)</f>
        <v>0</v>
      </c>
      <c r="T22" s="20" t="n">
        <f aca="false">IF(AND(T$4="运营",T$5&lt;=0_参数!$C$74),5_折旧摊销!$C$14*(1-0_参数!$C$75)/0_参数!$C$74,0)</f>
        <v>0</v>
      </c>
      <c r="U22" s="20" t="n">
        <f aca="false">IF(AND(U$4="运营",U$5&lt;=0_参数!$C$74),5_折旧摊销!$C$14*(1-0_参数!$C$75)/0_参数!$C$74,0)</f>
        <v>0</v>
      </c>
      <c r="V22" s="46" t="n">
        <f aca="false">SUM(D22:U22)</f>
        <v>90126.2799745533</v>
      </c>
    </row>
    <row r="23" customFormat="false" ht="15" hidden="false" customHeight="false" outlineLevel="0" collapsed="false">
      <c r="A23" s="14"/>
      <c r="B23" s="14" t="s">
        <v>697</v>
      </c>
      <c r="C23" s="14" t="s">
        <v>95</v>
      </c>
      <c r="D23" s="20" t="n">
        <f aca="false">IF(D$4="",0,5_折旧摊销!$C$14-SUM($D22:D22))</f>
        <v>94869.7683942666</v>
      </c>
      <c r="E23" s="20" t="n">
        <f aca="false">IF(E$4="",0,5_折旧摊销!$C$14-SUM($D22:E22))</f>
        <v>76844.512399356</v>
      </c>
      <c r="F23" s="20" t="n">
        <f aca="false">IF(F$4="",0,5_折旧摊销!$C$14-SUM($D22:F22))</f>
        <v>58819.2564044453</v>
      </c>
      <c r="G23" s="20" t="n">
        <f aca="false">IF(G$4="",0,5_折旧摊销!$C$14-SUM($D22:G22))</f>
        <v>40794.0004095347</v>
      </c>
      <c r="H23" s="20" t="n">
        <f aca="false">IF(H$4="",0,5_折旧摊销!$C$14-SUM($D22:H22))</f>
        <v>22768.744414624</v>
      </c>
      <c r="I23" s="20" t="n">
        <f aca="false">IF(I$4="",0,5_折旧摊销!$C$14-SUM($D22:I22))</f>
        <v>4743.48841971334</v>
      </c>
      <c r="J23" s="20" t="n">
        <f aca="false">IF(J$4="",0,5_折旧摊销!$C$14-SUM($D22:J22))</f>
        <v>4743.48841971334</v>
      </c>
      <c r="K23" s="20" t="n">
        <f aca="false">IF(K$4="",0,5_折旧摊销!$C$14-SUM($D22:K22))</f>
        <v>4743.48841971334</v>
      </c>
      <c r="L23" s="20" t="n">
        <f aca="false">IF(L$4="",0,5_折旧摊销!$C$14-SUM($D22:L22))</f>
        <v>4743.48841971334</v>
      </c>
      <c r="M23" s="20" t="n">
        <f aca="false">IF(M$4="",0,5_折旧摊销!$C$14-SUM($D22:M22))</f>
        <v>4743.48841971334</v>
      </c>
      <c r="N23" s="20" t="n">
        <f aca="false">IF(N$4="",0,5_折旧摊销!$C$14-SUM($D22:N22))</f>
        <v>4743.48841971334</v>
      </c>
      <c r="O23" s="20" t="n">
        <f aca="false">IF(O$4="",0,5_折旧摊销!$C$14-SUM($D22:O22))</f>
        <v>0</v>
      </c>
      <c r="P23" s="20" t="n">
        <f aca="false">IF(P$4="",0,5_折旧摊销!$C$14-SUM($D22:P22))</f>
        <v>0</v>
      </c>
      <c r="Q23" s="20" t="n">
        <f aca="false">IF(Q$4="",0,5_折旧摊销!$C$14-SUM($D22:Q22))</f>
        <v>0</v>
      </c>
      <c r="R23" s="20" t="n">
        <f aca="false">IF(R$4="",0,5_折旧摊销!$C$14-SUM($D22:R22))</f>
        <v>0</v>
      </c>
      <c r="S23" s="20" t="n">
        <f aca="false">IF(S$4="",0,5_折旧摊销!$C$14-SUM($D22:S22))</f>
        <v>0</v>
      </c>
      <c r="T23" s="20" t="n">
        <f aca="false">IF(T$4="",0,5_折旧摊销!$C$14-SUM($D22:T22))</f>
        <v>0</v>
      </c>
      <c r="U23" s="20" t="n">
        <f aca="false">IF(U$4="",0,5_折旧摊销!$C$14-SUM($D22:U22))</f>
        <v>0</v>
      </c>
      <c r="V23" s="20" t="n">
        <f aca="false">INDEX(D23:U23,0_参数!$C$9+0_参数!$C$10)</f>
        <v>4743.48841971334</v>
      </c>
    </row>
    <row r="24" customFormat="false" ht="15" hidden="false" customHeight="false" outlineLevel="0" collapsed="false">
      <c r="A24" s="14"/>
      <c r="B24" s="14" t="s">
        <v>698</v>
      </c>
      <c r="C24" s="14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14"/>
    </row>
    <row r="25" customFormat="false" ht="15" hidden="false" customHeight="false" outlineLevel="0" collapsed="false">
      <c r="A25" s="14"/>
      <c r="B25" s="14" t="s">
        <v>698</v>
      </c>
      <c r="C25" s="14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14"/>
    </row>
    <row r="26" customFormat="false" ht="15" hidden="false" customHeight="false" outlineLevel="0" collapsed="false">
      <c r="A26" s="14"/>
      <c r="B26" s="14" t="s">
        <v>698</v>
      </c>
      <c r="C26" s="14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14"/>
    </row>
    <row r="27" customFormat="false" ht="15" hidden="false" customHeight="false" outlineLevel="0" collapsed="false">
      <c r="A27" s="66" t="s">
        <v>91</v>
      </c>
      <c r="B27" s="50" t="s">
        <v>699</v>
      </c>
      <c r="C27" s="49" t="s">
        <v>95</v>
      </c>
      <c r="D27" s="51" t="n">
        <f aca="false">D18+D20+D22</f>
        <v>0</v>
      </c>
      <c r="E27" s="51" t="n">
        <f aca="false">E18+E20+E22</f>
        <v>19019.003115404</v>
      </c>
      <c r="F27" s="51" t="n">
        <f aca="false">F18+F20+F22</f>
        <v>19019.003115404</v>
      </c>
      <c r="G27" s="51" t="n">
        <f aca="false">G18+G20+G22</f>
        <v>19019.003115404</v>
      </c>
      <c r="H27" s="51" t="n">
        <f aca="false">H18+H20+H22</f>
        <v>19019.003115404</v>
      </c>
      <c r="I27" s="51" t="n">
        <f aca="false">I18+I20+I22</f>
        <v>19019.003115404</v>
      </c>
      <c r="J27" s="51" t="n">
        <f aca="false">J18+J20+J22</f>
        <v>993.747120493301</v>
      </c>
      <c r="K27" s="51" t="n">
        <f aca="false">K18+K20+K22</f>
        <v>993.747120493301</v>
      </c>
      <c r="L27" s="51" t="n">
        <f aca="false">L18+L20+L22</f>
        <v>993.747120493301</v>
      </c>
      <c r="M27" s="51" t="n">
        <f aca="false">M18+M20+M22</f>
        <v>993.747120493301</v>
      </c>
      <c r="N27" s="51" t="n">
        <f aca="false">N18+N20+N22</f>
        <v>993.747120493301</v>
      </c>
      <c r="O27" s="51" t="n">
        <f aca="false">O18+O20+O22</f>
        <v>0</v>
      </c>
      <c r="P27" s="51" t="n">
        <f aca="false">P18+P20+P22</f>
        <v>0</v>
      </c>
      <c r="Q27" s="51" t="n">
        <f aca="false">Q18+Q20+Q22</f>
        <v>0</v>
      </c>
      <c r="R27" s="51" t="n">
        <f aca="false">R18+R20+R22</f>
        <v>0</v>
      </c>
      <c r="S27" s="51" t="n">
        <f aca="false">S18+S20+S22</f>
        <v>0</v>
      </c>
      <c r="T27" s="51" t="n">
        <f aca="false">T18+T20+T22</f>
        <v>0</v>
      </c>
      <c r="U27" s="51" t="n">
        <f aca="false">U18+U20+U22</f>
        <v>0</v>
      </c>
      <c r="V27" s="51" t="n">
        <f aca="false">SUM(D27:U27)</f>
        <v>100063.751179486</v>
      </c>
    </row>
    <row r="28" customFormat="false" ht="15" hidden="false" customHeight="false" outlineLevel="0" collapsed="false">
      <c r="A28" s="14"/>
      <c r="B28" s="14" t="s">
        <v>700</v>
      </c>
      <c r="C28" s="14" t="s">
        <v>95</v>
      </c>
      <c r="D28" s="46" t="n">
        <f aca="false">D19+D21+D23</f>
        <v>111294.050816606</v>
      </c>
      <c r="E28" s="46" t="n">
        <f aca="false">E19+E21+E23</f>
        <v>92275.0477012021</v>
      </c>
      <c r="F28" s="46" t="n">
        <f aca="false">F19+F21+F23</f>
        <v>73256.0445857982</v>
      </c>
      <c r="G28" s="46" t="n">
        <f aca="false">G19+G21+G23</f>
        <v>54237.0414703942</v>
      </c>
      <c r="H28" s="46" t="n">
        <f aca="false">H19+H21+H23</f>
        <v>35218.0383549902</v>
      </c>
      <c r="I28" s="46" t="n">
        <f aca="false">I19+I21+I23</f>
        <v>16199.0352395863</v>
      </c>
      <c r="J28" s="46" t="n">
        <f aca="false">J19+J21+J23</f>
        <v>15205.288119093</v>
      </c>
      <c r="K28" s="46" t="n">
        <f aca="false">K19+K21+K23</f>
        <v>14211.5409985997</v>
      </c>
      <c r="L28" s="46" t="n">
        <f aca="false">L19+L21+L23</f>
        <v>13217.7938781064</v>
      </c>
      <c r="M28" s="46" t="n">
        <f aca="false">M19+M21+M23</f>
        <v>12224.0467576131</v>
      </c>
      <c r="N28" s="46" t="n">
        <f aca="false">N19+N21+N23</f>
        <v>11230.2996371198</v>
      </c>
      <c r="O28" s="46" t="n">
        <f aca="false">O19+O21+O23</f>
        <v>0</v>
      </c>
      <c r="P28" s="46" t="n">
        <f aca="false">P19+P21+P23</f>
        <v>0</v>
      </c>
      <c r="Q28" s="46" t="n">
        <f aca="false">Q19+Q21+Q23</f>
        <v>0</v>
      </c>
      <c r="R28" s="46" t="n">
        <f aca="false">R19+R21+R23</f>
        <v>0</v>
      </c>
      <c r="S28" s="46" t="n">
        <f aca="false">S19+S21+S23</f>
        <v>0</v>
      </c>
      <c r="T28" s="46" t="n">
        <f aca="false">T19+T21+T23</f>
        <v>0</v>
      </c>
      <c r="U28" s="46" t="n">
        <f aca="false">U19+U21+U23</f>
        <v>0</v>
      </c>
      <c r="V28" s="20" t="n">
        <f aca="false">INDEX(D28:U28,0_参数!$C$9+0_参数!$C$10)</f>
        <v>11230.2996371198</v>
      </c>
    </row>
    <row r="29" customFormat="false" ht="15" hidden="false" customHeight="false" outlineLevel="0" collapsed="false">
      <c r="A29" s="14"/>
      <c r="B29" s="14" t="s">
        <v>701</v>
      </c>
      <c r="C29" s="14" t="s">
        <v>95</v>
      </c>
      <c r="D29" s="20" t="n">
        <f aca="false">IF(D$3=0_参数!$C$9+0_参数!$C$10,D28,0)</f>
        <v>0</v>
      </c>
      <c r="E29" s="20" t="n">
        <f aca="false">IF(E$3=0_参数!$C$9+0_参数!$C$10,E28,0)</f>
        <v>0</v>
      </c>
      <c r="F29" s="20" t="n">
        <f aca="false">IF(F$3=0_参数!$C$9+0_参数!$C$10,F28,0)</f>
        <v>0</v>
      </c>
      <c r="G29" s="20" t="n">
        <f aca="false">IF(G$3=0_参数!$C$9+0_参数!$C$10,G28,0)</f>
        <v>0</v>
      </c>
      <c r="H29" s="20" t="n">
        <f aca="false">IF(H$3=0_参数!$C$9+0_参数!$C$10,H28,0)</f>
        <v>0</v>
      </c>
      <c r="I29" s="20" t="n">
        <f aca="false">IF(I$3=0_参数!$C$9+0_参数!$C$10,I28,0)</f>
        <v>0</v>
      </c>
      <c r="J29" s="20" t="n">
        <f aca="false">IF(J$3=0_参数!$C$9+0_参数!$C$10,J28,0)</f>
        <v>0</v>
      </c>
      <c r="K29" s="20" t="n">
        <f aca="false">IF(K$3=0_参数!$C$9+0_参数!$C$10,K28,0)</f>
        <v>0</v>
      </c>
      <c r="L29" s="20" t="n">
        <f aca="false">IF(L$3=0_参数!$C$9+0_参数!$C$10,L28,0)</f>
        <v>0</v>
      </c>
      <c r="M29" s="20" t="n">
        <f aca="false">IF(M$3=0_参数!$C$9+0_参数!$C$10,M28,0)</f>
        <v>0</v>
      </c>
      <c r="N29" s="20" t="n">
        <f aca="false">IF(N$3=0_参数!$C$9+0_参数!$C$10,N28,0)</f>
        <v>11230.2996371198</v>
      </c>
      <c r="O29" s="20" t="n">
        <f aca="false">IF(O$3=0_参数!$C$9+0_参数!$C$10,O28,0)</f>
        <v>0</v>
      </c>
      <c r="P29" s="20" t="n">
        <f aca="false">IF(P$3=0_参数!$C$9+0_参数!$C$10,P28,0)</f>
        <v>0</v>
      </c>
      <c r="Q29" s="20" t="n">
        <f aca="false">IF(Q$3=0_参数!$C$9+0_参数!$C$10,Q28,0)</f>
        <v>0</v>
      </c>
      <c r="R29" s="20" t="n">
        <f aca="false">IF(R$3=0_参数!$C$9+0_参数!$C$10,R28,0)</f>
        <v>0</v>
      </c>
      <c r="S29" s="20" t="n">
        <f aca="false">IF(S$3=0_参数!$C$9+0_参数!$C$10,S28,0)</f>
        <v>0</v>
      </c>
      <c r="T29" s="20" t="n">
        <f aca="false">IF(T$3=0_参数!$C$9+0_参数!$C$10,T28,0)</f>
        <v>0</v>
      </c>
      <c r="U29" s="20" t="n">
        <f aca="false">IF(U$3=0_参数!$C$9+0_参数!$C$10,U28,0)</f>
        <v>0</v>
      </c>
      <c r="V29" s="46" t="n">
        <f aca="false">SUM(D29:U29)</f>
        <v>11230.2996371198</v>
      </c>
    </row>
    <row r="30" customFormat="false" ht="15" hidden="false" customHeight="false" outlineLevel="0" collapsed="false">
      <c r="A30" s="14"/>
      <c r="B30" s="14" t="s">
        <v>698</v>
      </c>
      <c r="C30" s="14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14"/>
    </row>
    <row r="31" customFormat="false" ht="15" hidden="false" customHeight="false" outlineLevel="0" collapsed="false">
      <c r="A31" s="13" t="s">
        <v>118</v>
      </c>
      <c r="B31" s="14" t="s">
        <v>702</v>
      </c>
      <c r="C31" s="14" t="s">
        <v>95</v>
      </c>
      <c r="D31" s="20" t="n">
        <f aca="false">IF(AND(D$4="运营",D$5&lt;=0_参数!$C$76),5_折旧摊销!$C$16/0_参数!$C$76,0)</f>
        <v>0</v>
      </c>
      <c r="E31" s="20" t="n">
        <f aca="false">IF(AND(E$4="运营",E$5&lt;=0_参数!$C$76),5_折旧摊销!$C$16/0_参数!$C$76,0)</f>
        <v>8.46</v>
      </c>
      <c r="F31" s="20" t="n">
        <f aca="false">IF(AND(F$4="运营",F$5&lt;=0_参数!$C$76),5_折旧摊销!$C$16/0_参数!$C$76,0)</f>
        <v>8.46</v>
      </c>
      <c r="G31" s="20" t="n">
        <f aca="false">IF(AND(G$4="运营",G$5&lt;=0_参数!$C$76),5_折旧摊销!$C$16/0_参数!$C$76,0)</f>
        <v>8.46</v>
      </c>
      <c r="H31" s="20" t="n">
        <f aca="false">IF(AND(H$4="运营",H$5&lt;=0_参数!$C$76),5_折旧摊销!$C$16/0_参数!$C$76,0)</f>
        <v>8.46</v>
      </c>
      <c r="I31" s="20" t="n">
        <f aca="false">IF(AND(I$4="运营",I$5&lt;=0_参数!$C$76),5_折旧摊销!$C$16/0_参数!$C$76,0)</f>
        <v>8.46</v>
      </c>
      <c r="J31" s="20" t="n">
        <f aca="false">IF(AND(J$4="运营",J$5&lt;=0_参数!$C$76),5_折旧摊销!$C$16/0_参数!$C$76,0)</f>
        <v>0</v>
      </c>
      <c r="K31" s="20" t="n">
        <f aca="false">IF(AND(K$4="运营",K$5&lt;=0_参数!$C$76),5_折旧摊销!$C$16/0_参数!$C$76,0)</f>
        <v>0</v>
      </c>
      <c r="L31" s="20" t="n">
        <f aca="false">IF(AND(L$4="运营",L$5&lt;=0_参数!$C$76),5_折旧摊销!$C$16/0_参数!$C$76,0)</f>
        <v>0</v>
      </c>
      <c r="M31" s="20" t="n">
        <f aca="false">IF(AND(M$4="运营",M$5&lt;=0_参数!$C$76),5_折旧摊销!$C$16/0_参数!$C$76,0)</f>
        <v>0</v>
      </c>
      <c r="N31" s="20" t="n">
        <f aca="false">IF(AND(N$4="运营",N$5&lt;=0_参数!$C$76),5_折旧摊销!$C$16/0_参数!$C$76,0)</f>
        <v>0</v>
      </c>
      <c r="O31" s="20" t="n">
        <f aca="false">IF(AND(O$4="运营",O$5&lt;=0_参数!$C$76),5_折旧摊销!$C$16/0_参数!$C$76,0)</f>
        <v>0</v>
      </c>
      <c r="P31" s="20" t="n">
        <f aca="false">IF(AND(P$4="运营",P$5&lt;=0_参数!$C$76),5_折旧摊销!$C$16/0_参数!$C$76,0)</f>
        <v>0</v>
      </c>
      <c r="Q31" s="20" t="n">
        <f aca="false">IF(AND(Q$4="运营",Q$5&lt;=0_参数!$C$76),5_折旧摊销!$C$16/0_参数!$C$76,0)</f>
        <v>0</v>
      </c>
      <c r="R31" s="20" t="n">
        <f aca="false">IF(AND(R$4="运营",R$5&lt;=0_参数!$C$76),5_折旧摊销!$C$16/0_参数!$C$76,0)</f>
        <v>0</v>
      </c>
      <c r="S31" s="20" t="n">
        <f aca="false">IF(AND(S$4="运营",S$5&lt;=0_参数!$C$76),5_折旧摊销!$C$16/0_参数!$C$76,0)</f>
        <v>0</v>
      </c>
      <c r="T31" s="20" t="n">
        <f aca="false">IF(AND(T$4="运营",T$5&lt;=0_参数!$C$76),5_折旧摊销!$C$16/0_参数!$C$76,0)</f>
        <v>0</v>
      </c>
      <c r="U31" s="20" t="n">
        <f aca="false">IF(AND(U$4="运营",U$5&lt;=0_参数!$C$76),5_折旧摊销!$C$16/0_参数!$C$76,0)</f>
        <v>0</v>
      </c>
      <c r="V31" s="46" t="n">
        <f aca="false">SUM(D31:U31)</f>
        <v>42.3</v>
      </c>
    </row>
    <row r="32" customFormat="false" ht="15" hidden="false" customHeight="false" outlineLevel="0" collapsed="false">
      <c r="A32" s="14"/>
      <c r="B32" s="14" t="s">
        <v>703</v>
      </c>
      <c r="C32" s="14" t="s">
        <v>95</v>
      </c>
      <c r="D32" s="20" t="n">
        <f aca="false">IF(D$4="",0,5_折旧摊销!$C$16-SUM($D31:D31))</f>
        <v>42.3</v>
      </c>
      <c r="E32" s="20" t="n">
        <f aca="false">IF(E$4="",0,5_折旧摊销!$C$16-SUM($D31:E31))</f>
        <v>33.84</v>
      </c>
      <c r="F32" s="20" t="n">
        <f aca="false">IF(F$4="",0,5_折旧摊销!$C$16-SUM($D31:F31))</f>
        <v>25.38</v>
      </c>
      <c r="G32" s="20" t="n">
        <f aca="false">IF(G$4="",0,5_折旧摊销!$C$16-SUM($D31:G31))</f>
        <v>16.92</v>
      </c>
      <c r="H32" s="20" t="n">
        <f aca="false">IF(H$4="",0,5_折旧摊销!$C$16-SUM($D31:H31))</f>
        <v>8.46</v>
      </c>
      <c r="I32" s="20" t="n">
        <f aca="false">IF(I$4="",0,5_折旧摊销!$C$16-SUM($D31:I31))</f>
        <v>0</v>
      </c>
      <c r="J32" s="20" t="n">
        <f aca="false">IF(J$4="",0,5_折旧摊销!$C$16-SUM($D31:J31))</f>
        <v>0</v>
      </c>
      <c r="K32" s="20" t="n">
        <f aca="false">IF(K$4="",0,5_折旧摊销!$C$16-SUM($D31:K31))</f>
        <v>0</v>
      </c>
      <c r="L32" s="20" t="n">
        <f aca="false">IF(L$4="",0,5_折旧摊销!$C$16-SUM($D31:L31))</f>
        <v>0</v>
      </c>
      <c r="M32" s="20" t="n">
        <f aca="false">IF(M$4="",0,5_折旧摊销!$C$16-SUM($D31:M31))</f>
        <v>0</v>
      </c>
      <c r="N32" s="20" t="n">
        <f aca="false">IF(N$4="",0,5_折旧摊销!$C$16-SUM($D31:N31))</f>
        <v>0</v>
      </c>
      <c r="O32" s="20" t="n">
        <f aca="false">IF(O$4="",0,5_折旧摊销!$C$16-SUM($D31:O31))</f>
        <v>0</v>
      </c>
      <c r="P32" s="20" t="n">
        <f aca="false">IF(P$4="",0,5_折旧摊销!$C$16-SUM($D31:P31))</f>
        <v>0</v>
      </c>
      <c r="Q32" s="20" t="n">
        <f aca="false">IF(Q$4="",0,5_折旧摊销!$C$16-SUM($D31:Q31))</f>
        <v>0</v>
      </c>
      <c r="R32" s="20" t="n">
        <f aca="false">IF(R$4="",0,5_折旧摊销!$C$16-SUM($D31:R31))</f>
        <v>0</v>
      </c>
      <c r="S32" s="20" t="n">
        <f aca="false">IF(S$4="",0,5_折旧摊销!$C$16-SUM($D31:S31))</f>
        <v>0</v>
      </c>
      <c r="T32" s="20" t="n">
        <f aca="false">IF(T$4="",0,5_折旧摊销!$C$16-SUM($D31:T31))</f>
        <v>0</v>
      </c>
      <c r="U32" s="20" t="n">
        <f aca="false">IF(U$4="",0,5_折旧摊销!$C$16-SUM($D31:U31))</f>
        <v>0</v>
      </c>
      <c r="V32" s="20" t="n">
        <f aca="false">INDEX(D32:U32,0_参数!$C$9+0_参数!$C$10)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21" min="4" style="0" width="11"/>
    <col collapsed="false" customWidth="true" hidden="false" outlineLevel="0" max="22" min="22" style="0" width="13"/>
  </cols>
  <sheetData>
    <row r="1" customFormat="false" ht="21.6" hidden="false" customHeight="false" outlineLevel="0" collapsed="false">
      <c r="A1" s="6" t="s">
        <v>704</v>
      </c>
    </row>
    <row r="2" customFormat="false" ht="15" hidden="false" customHeight="false" outlineLevel="0" collapsed="false">
      <c r="A2" s="7" t="s">
        <v>705</v>
      </c>
    </row>
    <row r="3" customFormat="false" ht="15" hidden="false" customHeight="false" outlineLevel="0" collapsed="false">
      <c r="A3" s="27" t="s">
        <v>25</v>
      </c>
      <c r="B3" s="27" t="s">
        <v>611</v>
      </c>
      <c r="C3" s="27" t="s">
        <v>612</v>
      </c>
      <c r="D3" s="61" t="n">
        <v>1</v>
      </c>
      <c r="E3" s="61" t="n">
        <f aca="false">D3+1</f>
        <v>2</v>
      </c>
      <c r="F3" s="61" t="n">
        <f aca="false">E3+1</f>
        <v>3</v>
      </c>
      <c r="G3" s="61" t="n">
        <f aca="false">F3+1</f>
        <v>4</v>
      </c>
      <c r="H3" s="61" t="n">
        <f aca="false">G3+1</f>
        <v>5</v>
      </c>
      <c r="I3" s="61" t="n">
        <f aca="false">H3+1</f>
        <v>6</v>
      </c>
      <c r="J3" s="61" t="n">
        <f aca="false">I3+1</f>
        <v>7</v>
      </c>
      <c r="K3" s="61" t="n">
        <f aca="false">J3+1</f>
        <v>8</v>
      </c>
      <c r="L3" s="61" t="n">
        <f aca="false">K3+1</f>
        <v>9</v>
      </c>
      <c r="M3" s="61" t="n">
        <f aca="false">L3+1</f>
        <v>10</v>
      </c>
      <c r="N3" s="61" t="n">
        <f aca="false">M3+1</f>
        <v>11</v>
      </c>
      <c r="O3" s="61" t="n">
        <f aca="false">N3+1</f>
        <v>12</v>
      </c>
      <c r="P3" s="61" t="n">
        <f aca="false">O3+1</f>
        <v>13</v>
      </c>
      <c r="Q3" s="61" t="n">
        <f aca="false">P3+1</f>
        <v>14</v>
      </c>
      <c r="R3" s="61" t="n">
        <f aca="false">Q3+1</f>
        <v>15</v>
      </c>
      <c r="S3" s="61" t="n">
        <f aca="false">R3+1</f>
        <v>16</v>
      </c>
      <c r="T3" s="61" t="n">
        <f aca="false">S3+1</f>
        <v>17</v>
      </c>
      <c r="U3" s="61" t="n">
        <f aca="false">T3+1</f>
        <v>18</v>
      </c>
      <c r="V3" s="8" t="s">
        <v>613</v>
      </c>
    </row>
    <row r="4" customFormat="false" ht="15" hidden="false" customHeight="false" outlineLevel="0" collapsed="false">
      <c r="A4" s="62"/>
      <c r="B4" s="27" t="s">
        <v>614</v>
      </c>
      <c r="C4" s="62"/>
      <c r="D4" s="63" t="str">
        <f aca="false">IF(D$3&lt;=0_参数!$C$9,"建设",IF(D$3&lt;=0_参数!$C$9+0_参数!$C$10,"运营",""))</f>
        <v>建设</v>
      </c>
      <c r="E4" s="63" t="str">
        <f aca="false">IF(E$3&lt;=0_参数!$C$9,"建设",IF(E$3&lt;=0_参数!$C$9+0_参数!$C$10,"运营",""))</f>
        <v>运营</v>
      </c>
      <c r="F4" s="63" t="str">
        <f aca="false">IF(F$3&lt;=0_参数!$C$9,"建设",IF(F$3&lt;=0_参数!$C$9+0_参数!$C$10,"运营",""))</f>
        <v>运营</v>
      </c>
      <c r="G4" s="63" t="str">
        <f aca="false">IF(G$3&lt;=0_参数!$C$9,"建设",IF(G$3&lt;=0_参数!$C$9+0_参数!$C$10,"运营",""))</f>
        <v>运营</v>
      </c>
      <c r="H4" s="63" t="str">
        <f aca="false">IF(H$3&lt;=0_参数!$C$9,"建设",IF(H$3&lt;=0_参数!$C$9+0_参数!$C$10,"运营",""))</f>
        <v>运营</v>
      </c>
      <c r="I4" s="63" t="str">
        <f aca="false">IF(I$3&lt;=0_参数!$C$9,"建设",IF(I$3&lt;=0_参数!$C$9+0_参数!$C$10,"运营",""))</f>
        <v>运营</v>
      </c>
      <c r="J4" s="63" t="str">
        <f aca="false">IF(J$3&lt;=0_参数!$C$9,"建设",IF(J$3&lt;=0_参数!$C$9+0_参数!$C$10,"运营",""))</f>
        <v>运营</v>
      </c>
      <c r="K4" s="63" t="str">
        <f aca="false">IF(K$3&lt;=0_参数!$C$9,"建设",IF(K$3&lt;=0_参数!$C$9+0_参数!$C$10,"运营",""))</f>
        <v>运营</v>
      </c>
      <c r="L4" s="63" t="str">
        <f aca="false">IF(L$3&lt;=0_参数!$C$9,"建设",IF(L$3&lt;=0_参数!$C$9+0_参数!$C$10,"运营",""))</f>
        <v>运营</v>
      </c>
      <c r="M4" s="63" t="str">
        <f aca="false">IF(M$3&lt;=0_参数!$C$9,"建设",IF(M$3&lt;=0_参数!$C$9+0_参数!$C$10,"运营",""))</f>
        <v>运营</v>
      </c>
      <c r="N4" s="63" t="str">
        <f aca="false">IF(N$3&lt;=0_参数!$C$9,"建设",IF(N$3&lt;=0_参数!$C$9+0_参数!$C$10,"运营",""))</f>
        <v>运营</v>
      </c>
      <c r="O4" s="63" t="str">
        <f aca="false">IF(O$3&lt;=0_参数!$C$9,"建设",IF(O$3&lt;=0_参数!$C$9+0_参数!$C$10,"运营",""))</f>
        <v/>
      </c>
      <c r="P4" s="63" t="str">
        <f aca="false">IF(P$3&lt;=0_参数!$C$9,"建设",IF(P$3&lt;=0_参数!$C$9+0_参数!$C$10,"运营",""))</f>
        <v/>
      </c>
      <c r="Q4" s="63" t="str">
        <f aca="false">IF(Q$3&lt;=0_参数!$C$9,"建设",IF(Q$3&lt;=0_参数!$C$9+0_参数!$C$10,"运营",""))</f>
        <v/>
      </c>
      <c r="R4" s="63" t="str">
        <f aca="false">IF(R$3&lt;=0_参数!$C$9,"建设",IF(R$3&lt;=0_参数!$C$9+0_参数!$C$10,"运营",""))</f>
        <v/>
      </c>
      <c r="S4" s="63" t="str">
        <f aca="false">IF(S$3&lt;=0_参数!$C$9,"建设",IF(S$3&lt;=0_参数!$C$9+0_参数!$C$10,"运营",""))</f>
        <v/>
      </c>
      <c r="T4" s="63" t="str">
        <f aca="false">IF(T$3&lt;=0_参数!$C$9,"建设",IF(T$3&lt;=0_参数!$C$9+0_参数!$C$10,"运营",""))</f>
        <v/>
      </c>
      <c r="U4" s="63" t="str">
        <f aca="false">IF(U$3&lt;=0_参数!$C$9,"建设",IF(U$3&lt;=0_参数!$C$9+0_参数!$C$10,"运营",""))</f>
        <v/>
      </c>
      <c r="V4" s="62"/>
    </row>
    <row r="5" customFormat="false" ht="15" hidden="false" customHeight="false" outlineLevel="0" collapsed="false">
      <c r="A5" s="62"/>
      <c r="B5" s="27" t="s">
        <v>615</v>
      </c>
      <c r="C5" s="62"/>
      <c r="D5" s="64" t="n">
        <f aca="false">IF(D$4="运营",D$3-0_参数!$C$9,0)</f>
        <v>0</v>
      </c>
      <c r="E5" s="64" t="n">
        <f aca="false">IF(E$4="运营",E$3-0_参数!$C$9,0)</f>
        <v>1</v>
      </c>
      <c r="F5" s="64" t="n">
        <f aca="false">IF(F$4="运营",F$3-0_参数!$C$9,0)</f>
        <v>2</v>
      </c>
      <c r="G5" s="64" t="n">
        <f aca="false">IF(G$4="运营",G$3-0_参数!$C$9,0)</f>
        <v>3</v>
      </c>
      <c r="H5" s="64" t="n">
        <f aca="false">IF(H$4="运营",H$3-0_参数!$C$9,0)</f>
        <v>4</v>
      </c>
      <c r="I5" s="64" t="n">
        <f aca="false">IF(I$4="运营",I$3-0_参数!$C$9,0)</f>
        <v>5</v>
      </c>
      <c r="J5" s="64" t="n">
        <f aca="false">IF(J$4="运营",J$3-0_参数!$C$9,0)</f>
        <v>6</v>
      </c>
      <c r="K5" s="64" t="n">
        <f aca="false">IF(K$4="运营",K$3-0_参数!$C$9,0)</f>
        <v>7</v>
      </c>
      <c r="L5" s="64" t="n">
        <f aca="false">IF(L$4="运营",L$3-0_参数!$C$9,0)</f>
        <v>8</v>
      </c>
      <c r="M5" s="64" t="n">
        <f aca="false">IF(M$4="运营",M$3-0_参数!$C$9,0)</f>
        <v>9</v>
      </c>
      <c r="N5" s="64" t="n">
        <f aca="false">IF(N$4="运营",N$3-0_参数!$C$9,0)</f>
        <v>10</v>
      </c>
      <c r="O5" s="64" t="n">
        <f aca="false">IF(O$4="运营",O$3-0_参数!$C$9,0)</f>
        <v>0</v>
      </c>
      <c r="P5" s="64" t="n">
        <f aca="false">IF(P$4="运营",P$3-0_参数!$C$9,0)</f>
        <v>0</v>
      </c>
      <c r="Q5" s="64" t="n">
        <f aca="false">IF(Q$4="运营",Q$3-0_参数!$C$9,0)</f>
        <v>0</v>
      </c>
      <c r="R5" s="64" t="n">
        <f aca="false">IF(R$4="运营",R$3-0_参数!$C$9,0)</f>
        <v>0</v>
      </c>
      <c r="S5" s="64" t="n">
        <f aca="false">IF(S$4="运营",S$3-0_参数!$C$9,0)</f>
        <v>0</v>
      </c>
      <c r="T5" s="64" t="n">
        <f aca="false">IF(T$4="运营",T$3-0_参数!$C$9,0)</f>
        <v>0</v>
      </c>
      <c r="U5" s="64" t="n">
        <f aca="false">IF(U$4="运营",U$3-0_参数!$C$9,0)</f>
        <v>0</v>
      </c>
      <c r="V5" s="62"/>
    </row>
    <row r="6" customFormat="false" ht="15" hidden="false" customHeight="false" outlineLevel="0" collapsed="false">
      <c r="A6" s="62"/>
      <c r="B6" s="27" t="s">
        <v>616</v>
      </c>
      <c r="C6" s="62"/>
      <c r="D6" s="65" t="n">
        <f aca="false">IF(D$4="建设",D$3,0)</f>
        <v>1</v>
      </c>
      <c r="E6" s="65" t="n">
        <f aca="false">IF(E$4="建设",E$3,0)</f>
        <v>0</v>
      </c>
      <c r="F6" s="65" t="n">
        <f aca="false">IF(F$4="建设",F$3,0)</f>
        <v>0</v>
      </c>
      <c r="G6" s="65" t="n">
        <f aca="false">IF(G$4="建设",G$3,0)</f>
        <v>0</v>
      </c>
      <c r="H6" s="65" t="n">
        <f aca="false">IF(H$4="建设",H$3,0)</f>
        <v>0</v>
      </c>
      <c r="I6" s="65" t="n">
        <f aca="false">IF(I$4="建设",I$3,0)</f>
        <v>0</v>
      </c>
      <c r="J6" s="65" t="n">
        <f aca="false">IF(J$4="建设",J$3,0)</f>
        <v>0</v>
      </c>
      <c r="K6" s="65" t="n">
        <f aca="false">IF(K$4="建设",K$3,0)</f>
        <v>0</v>
      </c>
      <c r="L6" s="65" t="n">
        <f aca="false">IF(L$4="建设",L$3,0)</f>
        <v>0</v>
      </c>
      <c r="M6" s="65" t="n">
        <f aca="false">IF(M$4="建设",M$3,0)</f>
        <v>0</v>
      </c>
      <c r="N6" s="65" t="n">
        <f aca="false">IF(N$4="建设",N$3,0)</f>
        <v>0</v>
      </c>
      <c r="O6" s="65" t="n">
        <f aca="false">IF(O$4="建设",O$3,0)</f>
        <v>0</v>
      </c>
      <c r="P6" s="65" t="n">
        <f aca="false">IF(P$4="建设",P$3,0)</f>
        <v>0</v>
      </c>
      <c r="Q6" s="65" t="n">
        <f aca="false">IF(Q$4="建设",Q$3,0)</f>
        <v>0</v>
      </c>
      <c r="R6" s="65" t="n">
        <f aca="false">IF(R$4="建设",R$3,0)</f>
        <v>0</v>
      </c>
      <c r="S6" s="65" t="n">
        <f aca="false">IF(S$4="建设",S$3,0)</f>
        <v>0</v>
      </c>
      <c r="T6" s="65" t="n">
        <f aca="false">IF(T$4="建设",T$3,0)</f>
        <v>0</v>
      </c>
      <c r="U6" s="65" t="n">
        <f aca="false">IF(U$4="建设",U$3,0)</f>
        <v>0</v>
      </c>
      <c r="V6" s="62"/>
    </row>
    <row r="7" customFormat="false" ht="15" hidden="false" customHeight="false" outlineLevel="0" collapsed="false">
      <c r="A7" s="13" t="s">
        <v>30</v>
      </c>
      <c r="B7" s="14" t="s">
        <v>706</v>
      </c>
      <c r="C7" s="14" t="s">
        <v>46</v>
      </c>
      <c r="D7" s="20" t="n">
        <f aca="false">IF(D$4="运营",0_参数!$C$26*4_总成本费用!D$7,0)</f>
        <v>0</v>
      </c>
      <c r="E7" s="20" t="n">
        <f aca="false">IF(E$4="运营",0_参数!$C$26*4_总成本费用!E$7,0)</f>
        <v>168</v>
      </c>
      <c r="F7" s="20" t="n">
        <f aca="false">IF(F$4="运营",0_参数!$C$26*4_总成本费用!F$7,0)</f>
        <v>168</v>
      </c>
      <c r="G7" s="20" t="n">
        <f aca="false">IF(G$4="运营",0_参数!$C$26*4_总成本费用!G$7,0)</f>
        <v>168</v>
      </c>
      <c r="H7" s="20" t="n">
        <f aca="false">IF(H$4="运营",0_参数!$C$26*4_总成本费用!H$7,0)</f>
        <v>168</v>
      </c>
      <c r="I7" s="20" t="n">
        <f aca="false">IF(I$4="运营",0_参数!$C$26*4_总成本费用!I$7,0)</f>
        <v>168</v>
      </c>
      <c r="J7" s="20" t="n">
        <f aca="false">IF(J$4="运营",0_参数!$C$26*4_总成本费用!J$7,0)</f>
        <v>168</v>
      </c>
      <c r="K7" s="20" t="n">
        <f aca="false">IF(K$4="运营",0_参数!$C$26*4_总成本费用!K$7,0)</f>
        <v>168</v>
      </c>
      <c r="L7" s="20" t="n">
        <f aca="false">IF(L$4="运营",0_参数!$C$26*4_总成本费用!L$7,0)</f>
        <v>168</v>
      </c>
      <c r="M7" s="20" t="n">
        <f aca="false">IF(M$4="运营",0_参数!$C$26*4_总成本费用!M$7,0)</f>
        <v>168</v>
      </c>
      <c r="N7" s="20" t="n">
        <f aca="false">IF(N$4="运营",0_参数!$C$26*4_总成本费用!N$7,0)</f>
        <v>168</v>
      </c>
      <c r="O7" s="20" t="n">
        <f aca="false">IF(O$4="运营",0_参数!$C$26*4_总成本费用!O$7,0)</f>
        <v>0</v>
      </c>
      <c r="P7" s="20" t="n">
        <f aca="false">IF(P$4="运营",0_参数!$C$26*4_总成本费用!P$7,0)</f>
        <v>0</v>
      </c>
      <c r="Q7" s="20" t="n">
        <f aca="false">IF(Q$4="运营",0_参数!$C$26*4_总成本费用!Q$7,0)</f>
        <v>0</v>
      </c>
      <c r="R7" s="20" t="n">
        <f aca="false">IF(R$4="运营",0_参数!$C$26*4_总成本费用!R$7,0)</f>
        <v>0</v>
      </c>
      <c r="S7" s="20" t="n">
        <f aca="false">IF(S$4="运营",0_参数!$C$26*4_总成本费用!S$7,0)</f>
        <v>0</v>
      </c>
      <c r="T7" s="20" t="n">
        <f aca="false">IF(T$4="运营",0_参数!$C$26*4_总成本费用!T$7,0)</f>
        <v>0</v>
      </c>
      <c r="U7" s="20" t="n">
        <f aca="false">IF(U$4="运营",0_参数!$C$26*4_总成本费用!U$7,0)</f>
        <v>0</v>
      </c>
      <c r="V7" s="14"/>
    </row>
    <row r="8" customFormat="false" ht="15" hidden="false" customHeight="false" outlineLevel="0" collapsed="false">
      <c r="A8" s="13" t="s">
        <v>56</v>
      </c>
      <c r="B8" s="14" t="s">
        <v>707</v>
      </c>
      <c r="C8" s="14"/>
      <c r="D8" s="68" t="n">
        <f aca="false">4_总成本费用!D$8</f>
        <v>0</v>
      </c>
      <c r="E8" s="68" t="n">
        <f aca="false">4_总成本费用!E$8</f>
        <v>0.8</v>
      </c>
      <c r="F8" s="68" t="n">
        <f aca="false">4_总成本费用!F$8</f>
        <v>0.9</v>
      </c>
      <c r="G8" s="68" t="n">
        <f aca="false">4_总成本费用!G$8</f>
        <v>0.9</v>
      </c>
      <c r="H8" s="68" t="n">
        <f aca="false">4_总成本费用!H$8</f>
        <v>0.9</v>
      </c>
      <c r="I8" s="68" t="n">
        <f aca="false">4_总成本费用!I$8</f>
        <v>0.9</v>
      </c>
      <c r="J8" s="68" t="n">
        <f aca="false">4_总成本费用!J$8</f>
        <v>0.9</v>
      </c>
      <c r="K8" s="68" t="n">
        <f aca="false">4_总成本费用!K$8</f>
        <v>0.9</v>
      </c>
      <c r="L8" s="68" t="n">
        <f aca="false">4_总成本费用!L$8</f>
        <v>0.9</v>
      </c>
      <c r="M8" s="68" t="n">
        <f aca="false">4_总成本费用!M$8</f>
        <v>0.9</v>
      </c>
      <c r="N8" s="68" t="n">
        <f aca="false">4_总成本费用!N$8</f>
        <v>0.9</v>
      </c>
      <c r="O8" s="68" t="n">
        <f aca="false">4_总成本费用!O$8</f>
        <v>0</v>
      </c>
      <c r="P8" s="68" t="n">
        <f aca="false">4_总成本费用!P$8</f>
        <v>0</v>
      </c>
      <c r="Q8" s="68" t="n">
        <f aca="false">4_总成本费用!Q$8</f>
        <v>0</v>
      </c>
      <c r="R8" s="68" t="n">
        <f aca="false">4_总成本费用!R$8</f>
        <v>0</v>
      </c>
      <c r="S8" s="68" t="n">
        <f aca="false">4_总成本费用!S$8</f>
        <v>0</v>
      </c>
      <c r="T8" s="68" t="n">
        <f aca="false">4_总成本费用!T$8</f>
        <v>0</v>
      </c>
      <c r="U8" s="68" t="n">
        <f aca="false">4_总成本费用!U$8</f>
        <v>0</v>
      </c>
      <c r="V8" s="14"/>
    </row>
    <row r="9" customFormat="false" ht="15" hidden="false" customHeight="false" outlineLevel="0" collapsed="false">
      <c r="A9" s="13" t="s">
        <v>78</v>
      </c>
      <c r="B9" s="14" t="s">
        <v>708</v>
      </c>
      <c r="C9" s="14" t="s">
        <v>264</v>
      </c>
      <c r="D9" s="20" t="n">
        <f aca="false">IF(D$4="运营",0_参数!$C$46,0)</f>
        <v>0</v>
      </c>
      <c r="E9" s="20" t="n">
        <f aca="false">IF(E$4="运营",0_参数!$C$46,0)</f>
        <v>14</v>
      </c>
      <c r="F9" s="20" t="n">
        <f aca="false">IF(F$4="运营",0_参数!$C$46,0)</f>
        <v>14</v>
      </c>
      <c r="G9" s="20" t="n">
        <f aca="false">IF(G$4="运营",0_参数!$C$46,0)</f>
        <v>14</v>
      </c>
      <c r="H9" s="20" t="n">
        <f aca="false">IF(H$4="运营",0_参数!$C$46,0)</f>
        <v>14</v>
      </c>
      <c r="I9" s="20" t="n">
        <f aca="false">IF(I$4="运营",0_参数!$C$46,0)</f>
        <v>14</v>
      </c>
      <c r="J9" s="20" t="n">
        <f aca="false">IF(J$4="运营",0_参数!$C$46,0)</f>
        <v>14</v>
      </c>
      <c r="K9" s="20" t="n">
        <f aca="false">IF(K$4="运营",0_参数!$C$46,0)</f>
        <v>14</v>
      </c>
      <c r="L9" s="20" t="n">
        <f aca="false">IF(L$4="运营",0_参数!$C$46,0)</f>
        <v>14</v>
      </c>
      <c r="M9" s="20" t="n">
        <f aca="false">IF(M$4="运营",0_参数!$C$46,0)</f>
        <v>14</v>
      </c>
      <c r="N9" s="20" t="n">
        <f aca="false">IF(N$4="运营",0_参数!$C$46,0)</f>
        <v>14</v>
      </c>
      <c r="O9" s="20" t="n">
        <f aca="false">IF(O$4="运营",0_参数!$C$46,0)</f>
        <v>0</v>
      </c>
      <c r="P9" s="20" t="n">
        <f aca="false">IF(P$4="运营",0_参数!$C$46,0)</f>
        <v>0</v>
      </c>
      <c r="Q9" s="20" t="n">
        <f aca="false">IF(Q$4="运营",0_参数!$C$46,0)</f>
        <v>0</v>
      </c>
      <c r="R9" s="20" t="n">
        <f aca="false">IF(R$4="运营",0_参数!$C$46,0)</f>
        <v>0</v>
      </c>
      <c r="S9" s="20" t="n">
        <f aca="false">IF(S$4="运营",0_参数!$C$46,0)</f>
        <v>0</v>
      </c>
      <c r="T9" s="20" t="n">
        <f aca="false">IF(T$4="运营",0_参数!$C$46,0)</f>
        <v>0</v>
      </c>
      <c r="U9" s="20" t="n">
        <f aca="false">IF(U$4="运营",0_参数!$C$46,0)</f>
        <v>0</v>
      </c>
      <c r="V9" s="14"/>
    </row>
    <row r="10" customFormat="false" ht="15" hidden="false" customHeight="false" outlineLevel="0" collapsed="false">
      <c r="A10" s="13" t="s">
        <v>91</v>
      </c>
      <c r="B10" s="14" t="s">
        <v>709</v>
      </c>
      <c r="C10" s="14" t="s">
        <v>95</v>
      </c>
      <c r="D10" s="46" t="n">
        <f aca="false">D7*D8*D9*12</f>
        <v>0</v>
      </c>
      <c r="E10" s="46" t="n">
        <f aca="false">E7*E8*E9*12</f>
        <v>22579.2</v>
      </c>
      <c r="F10" s="46" t="n">
        <f aca="false">F7*F8*F9*12</f>
        <v>25401.6</v>
      </c>
      <c r="G10" s="46" t="n">
        <f aca="false">G7*G8*G9*12</f>
        <v>25401.6</v>
      </c>
      <c r="H10" s="46" t="n">
        <f aca="false">H7*H8*H9*12</f>
        <v>25401.6</v>
      </c>
      <c r="I10" s="46" t="n">
        <f aca="false">I7*I8*I9*12</f>
        <v>25401.6</v>
      </c>
      <c r="J10" s="46" t="n">
        <f aca="false">J7*J8*J9*12</f>
        <v>25401.6</v>
      </c>
      <c r="K10" s="46" t="n">
        <f aca="false">K7*K8*K9*12</f>
        <v>25401.6</v>
      </c>
      <c r="L10" s="46" t="n">
        <f aca="false">L7*L8*L9*12</f>
        <v>25401.6</v>
      </c>
      <c r="M10" s="46" t="n">
        <f aca="false">M7*M8*M9*12</f>
        <v>25401.6</v>
      </c>
      <c r="N10" s="46" t="n">
        <f aca="false">N7*N8*N9*12</f>
        <v>25401.6</v>
      </c>
      <c r="O10" s="46" t="n">
        <f aca="false">O7*O8*O9*12</f>
        <v>0</v>
      </c>
      <c r="P10" s="46" t="n">
        <f aca="false">P7*P8*P9*12</f>
        <v>0</v>
      </c>
      <c r="Q10" s="46" t="n">
        <f aca="false">Q7*Q8*Q9*12</f>
        <v>0</v>
      </c>
      <c r="R10" s="46" t="n">
        <f aca="false">R7*R8*R9*12</f>
        <v>0</v>
      </c>
      <c r="S10" s="46" t="n">
        <f aca="false">S7*S8*S9*12</f>
        <v>0</v>
      </c>
      <c r="T10" s="46" t="n">
        <f aca="false">T7*T8*T9*12</f>
        <v>0</v>
      </c>
      <c r="U10" s="46" t="n">
        <f aca="false">U7*U8*U9*12</f>
        <v>0</v>
      </c>
      <c r="V10" s="20" t="n">
        <f aca="false">IFERROR(SUMIF(D$4:U$4,"运营",D10:U10)/0_参数!$C$10,0)</f>
        <v>25119.36</v>
      </c>
    </row>
    <row r="11" customFormat="false" ht="15" hidden="false" customHeight="false" outlineLevel="0" collapsed="false">
      <c r="A11" s="66" t="s">
        <v>118</v>
      </c>
      <c r="B11" s="50" t="s">
        <v>710</v>
      </c>
      <c r="C11" s="49" t="s">
        <v>95</v>
      </c>
      <c r="D11" s="60" t="n">
        <f aca="false">D10/(1+0_参数!$C$47)</f>
        <v>0</v>
      </c>
      <c r="E11" s="60" t="n">
        <f aca="false">E10/(1+0_参数!$C$47)</f>
        <v>21301.1320754717</v>
      </c>
      <c r="F11" s="60" t="n">
        <f aca="false">F10/(1+0_参数!$C$47)</f>
        <v>23963.7735849057</v>
      </c>
      <c r="G11" s="60" t="n">
        <f aca="false">G10/(1+0_参数!$C$47)</f>
        <v>23963.7735849057</v>
      </c>
      <c r="H11" s="60" t="n">
        <f aca="false">H10/(1+0_参数!$C$47)</f>
        <v>23963.7735849057</v>
      </c>
      <c r="I11" s="60" t="n">
        <f aca="false">I10/(1+0_参数!$C$47)</f>
        <v>23963.7735849057</v>
      </c>
      <c r="J11" s="60" t="n">
        <f aca="false">J10/(1+0_参数!$C$47)</f>
        <v>23963.7735849057</v>
      </c>
      <c r="K11" s="60" t="n">
        <f aca="false">K10/(1+0_参数!$C$47)</f>
        <v>23963.7735849057</v>
      </c>
      <c r="L11" s="60" t="n">
        <f aca="false">L10/(1+0_参数!$C$47)</f>
        <v>23963.7735849057</v>
      </c>
      <c r="M11" s="60" t="n">
        <f aca="false">M10/(1+0_参数!$C$47)</f>
        <v>23963.7735849057</v>
      </c>
      <c r="N11" s="60" t="n">
        <f aca="false">N10/(1+0_参数!$C$47)</f>
        <v>23963.7735849057</v>
      </c>
      <c r="O11" s="60" t="n">
        <f aca="false">O10/(1+0_参数!$C$47)</f>
        <v>0</v>
      </c>
      <c r="P11" s="60" t="n">
        <f aca="false">P10/(1+0_参数!$C$47)</f>
        <v>0</v>
      </c>
      <c r="Q11" s="60" t="n">
        <f aca="false">Q10/(1+0_参数!$C$47)</f>
        <v>0</v>
      </c>
      <c r="R11" s="60" t="n">
        <f aca="false">R10/(1+0_参数!$C$47)</f>
        <v>0</v>
      </c>
      <c r="S11" s="60" t="n">
        <f aca="false">S10/(1+0_参数!$C$47)</f>
        <v>0</v>
      </c>
      <c r="T11" s="60" t="n">
        <f aca="false">T10/(1+0_参数!$C$47)</f>
        <v>0</v>
      </c>
      <c r="U11" s="60" t="n">
        <f aca="false">U10/(1+0_参数!$C$47)</f>
        <v>0</v>
      </c>
      <c r="V11" s="60" t="n">
        <f aca="false">IFERROR(SUMIF(D$4:U$4,"运营",D11:U11)/0_参数!$C$10,0)</f>
        <v>23697.5094339623</v>
      </c>
    </row>
    <row r="12" customFormat="false" ht="15" hidden="false" customHeight="false" outlineLevel="0" collapsed="false">
      <c r="A12" s="13" t="s">
        <v>161</v>
      </c>
      <c r="B12" s="14" t="s">
        <v>711</v>
      </c>
      <c r="C12" s="14" t="s">
        <v>95</v>
      </c>
      <c r="D12" s="20" t="n">
        <f aca="false">D11*0_参数!$C$47</f>
        <v>0</v>
      </c>
      <c r="E12" s="20" t="n">
        <f aca="false">E11*0_参数!$C$47</f>
        <v>1278.0679245283</v>
      </c>
      <c r="F12" s="20" t="n">
        <f aca="false">F11*0_参数!$C$47</f>
        <v>1437.82641509434</v>
      </c>
      <c r="G12" s="20" t="n">
        <f aca="false">G11*0_参数!$C$47</f>
        <v>1437.82641509434</v>
      </c>
      <c r="H12" s="20" t="n">
        <f aca="false">H11*0_参数!$C$47</f>
        <v>1437.82641509434</v>
      </c>
      <c r="I12" s="20" t="n">
        <f aca="false">I11*0_参数!$C$47</f>
        <v>1437.82641509434</v>
      </c>
      <c r="J12" s="20" t="n">
        <f aca="false">J11*0_参数!$C$47</f>
        <v>1437.82641509434</v>
      </c>
      <c r="K12" s="20" t="n">
        <f aca="false">K11*0_参数!$C$47</f>
        <v>1437.82641509434</v>
      </c>
      <c r="L12" s="20" t="n">
        <f aca="false">L11*0_参数!$C$47</f>
        <v>1437.82641509434</v>
      </c>
      <c r="M12" s="20" t="n">
        <f aca="false">M11*0_参数!$C$47</f>
        <v>1437.82641509434</v>
      </c>
      <c r="N12" s="20" t="n">
        <f aca="false">N11*0_参数!$C$47</f>
        <v>1437.82641509434</v>
      </c>
      <c r="O12" s="20" t="n">
        <f aca="false">O11*0_参数!$C$47</f>
        <v>0</v>
      </c>
      <c r="P12" s="20" t="n">
        <f aca="false">P11*0_参数!$C$47</f>
        <v>0</v>
      </c>
      <c r="Q12" s="20" t="n">
        <f aca="false">Q11*0_参数!$C$47</f>
        <v>0</v>
      </c>
      <c r="R12" s="20" t="n">
        <f aca="false">R11*0_参数!$C$47</f>
        <v>0</v>
      </c>
      <c r="S12" s="20" t="n">
        <f aca="false">S11*0_参数!$C$47</f>
        <v>0</v>
      </c>
      <c r="T12" s="20" t="n">
        <f aca="false">T11*0_参数!$C$47</f>
        <v>0</v>
      </c>
      <c r="U12" s="20" t="n">
        <f aca="false">U11*0_参数!$C$47</f>
        <v>0</v>
      </c>
      <c r="V12" s="20" t="n">
        <f aca="false">IFERROR(SUMIF(D$4:U$4,"运营",D12:U12)/0_参数!$C$10,0)</f>
        <v>1421.85056603774</v>
      </c>
    </row>
    <row r="13" customFormat="false" ht="15" hidden="false" customHeight="false" outlineLevel="0" collapsed="false">
      <c r="A13" s="13" t="s">
        <v>556</v>
      </c>
      <c r="B13" s="14" t="s">
        <v>712</v>
      </c>
      <c r="C13" s="14" t="s">
        <v>95</v>
      </c>
      <c r="D13" s="20" t="n">
        <f aca="false">4_总成本费用!D$30</f>
        <v>0</v>
      </c>
      <c r="E13" s="20" t="n">
        <f aca="false">4_总成本费用!E$30</f>
        <v>192.666589830904</v>
      </c>
      <c r="F13" s="20" t="n">
        <f aca="false">4_总成本费用!F$30</f>
        <v>202.838440116214</v>
      </c>
      <c r="G13" s="20" t="n">
        <f aca="false">4_总成本费用!G$30</f>
        <v>202.838440116214</v>
      </c>
      <c r="H13" s="20" t="n">
        <f aca="false">4_总成本费用!H$30</f>
        <v>256.187496719987</v>
      </c>
      <c r="I13" s="20" t="n">
        <f aca="false">4_总成本费用!I$30</f>
        <v>256.187496719987</v>
      </c>
      <c r="J13" s="20" t="n">
        <f aca="false">4_总成本费用!J$30</f>
        <v>256.187496719987</v>
      </c>
      <c r="K13" s="20" t="n">
        <f aca="false">4_总成本费用!K$30</f>
        <v>309.536553323761</v>
      </c>
      <c r="L13" s="20" t="n">
        <f aca="false">4_总成本费用!L$30</f>
        <v>309.536553323761</v>
      </c>
      <c r="M13" s="20" t="n">
        <f aca="false">4_总成本费用!M$30</f>
        <v>309.536553323761</v>
      </c>
      <c r="N13" s="20" t="n">
        <f aca="false">4_总成本费用!N$30</f>
        <v>309.536553323761</v>
      </c>
      <c r="O13" s="20" t="n">
        <f aca="false">4_总成本费用!O$30</f>
        <v>0</v>
      </c>
      <c r="P13" s="20" t="n">
        <f aca="false">4_总成本费用!P$30</f>
        <v>0</v>
      </c>
      <c r="Q13" s="20" t="n">
        <f aca="false">4_总成本费用!Q$30</f>
        <v>0</v>
      </c>
      <c r="R13" s="20" t="n">
        <f aca="false">4_总成本费用!R$30</f>
        <v>0</v>
      </c>
      <c r="S13" s="20" t="n">
        <f aca="false">4_总成本费用!S$30</f>
        <v>0</v>
      </c>
      <c r="T13" s="20" t="n">
        <f aca="false">4_总成本费用!T$30</f>
        <v>0</v>
      </c>
      <c r="U13" s="20" t="n">
        <f aca="false">4_总成本费用!U$30</f>
        <v>0</v>
      </c>
      <c r="V13" s="20" t="n">
        <f aca="false">IFERROR(SUMIF(D$4:U$4,"运营",D13:U13)/0_参数!$C$10,0)</f>
        <v>260.505217351834</v>
      </c>
    </row>
    <row r="14" customFormat="false" ht="15" hidden="false" customHeight="false" outlineLevel="0" collapsed="false">
      <c r="A14" s="13" t="s">
        <v>560</v>
      </c>
      <c r="B14" s="14" t="s">
        <v>713</v>
      </c>
      <c r="C14" s="14" t="s">
        <v>95</v>
      </c>
      <c r="D14" s="20" t="n">
        <f aca="false">IF(D$5=1,1_总投资估算!$F$39,0)</f>
        <v>0</v>
      </c>
      <c r="E14" s="20" t="n">
        <f aca="false">IF(E$5=1,1_总投资估算!$F$39,IF(E$4="运营",D16,0))</f>
        <v>12616.9103353089</v>
      </c>
      <c r="F14" s="20" t="n">
        <f aca="false">IF(F$5=1,1_总投资估算!$F$39,IF(F$4="运营",E16,0))</f>
        <v>11531.5090006115</v>
      </c>
      <c r="G14" s="20" t="n">
        <f aca="false">IF(G$5=1,1_总投资估算!$F$39,IF(G$4="运营",F16,0))</f>
        <v>10296.5210256334</v>
      </c>
      <c r="H14" s="20" t="n">
        <f aca="false">IF(H$5=1,1_总投资估算!$F$39,IF(H$4="运营",G16,0))</f>
        <v>9061.53305065527</v>
      </c>
      <c r="I14" s="20" t="n">
        <f aca="false">IF(I$5=1,1_总投资估算!$F$39,IF(I$4="运营",H16,0))</f>
        <v>7879.89413228092</v>
      </c>
      <c r="J14" s="20" t="n">
        <f aca="false">IF(J$5=1,1_总投资估算!$F$39,IF(J$4="运营",I16,0))</f>
        <v>6698.25521390657</v>
      </c>
      <c r="K14" s="20" t="n">
        <f aca="false">IF(K$5=1,1_总投资估算!$F$39,IF(K$4="运营",J16,0))</f>
        <v>5516.61629553221</v>
      </c>
      <c r="L14" s="20" t="n">
        <f aca="false">IF(L$5=1,1_总投资估算!$F$39,IF(L$4="运营",K16,0))</f>
        <v>4388.32643376164</v>
      </c>
      <c r="M14" s="20" t="n">
        <f aca="false">IF(M$5=1,1_总投资估算!$F$39,IF(M$4="运营",L16,0))</f>
        <v>3260.03657199106</v>
      </c>
      <c r="N14" s="20" t="n">
        <f aca="false">IF(N$5=1,1_总投资估算!$F$39,IF(N$4="运营",M16,0))</f>
        <v>2131.74671022048</v>
      </c>
      <c r="O14" s="20" t="n">
        <f aca="false">IF(O$5=1,1_总投资估算!$F$39,IF(O$4="运营",N16,0))</f>
        <v>0</v>
      </c>
      <c r="P14" s="20" t="n">
        <f aca="false">IF(P$5=1,1_总投资估算!$F$39,IF(P$4="运营",O16,0))</f>
        <v>0</v>
      </c>
      <c r="Q14" s="20" t="n">
        <f aca="false">IF(Q$5=1,1_总投资估算!$F$39,IF(Q$4="运营",P16,0))</f>
        <v>0</v>
      </c>
      <c r="R14" s="20" t="n">
        <f aca="false">IF(R$5=1,1_总投资估算!$F$39,IF(R$4="运营",Q16,0))</f>
        <v>0</v>
      </c>
      <c r="S14" s="20" t="n">
        <f aca="false">IF(S$5=1,1_总投资估算!$F$39,IF(S$4="运营",R16,0))</f>
        <v>0</v>
      </c>
      <c r="T14" s="20" t="n">
        <f aca="false">IF(T$5=1,1_总投资估算!$F$39,IF(T$4="运营",S16,0))</f>
        <v>0</v>
      </c>
      <c r="U14" s="20" t="n">
        <f aca="false">IF(U$5=1,1_总投资估算!$F$39,IF(U$4="运营",T16,0))</f>
        <v>0</v>
      </c>
      <c r="V14" s="14"/>
    </row>
    <row r="15" customFormat="false" ht="15" hidden="false" customHeight="false" outlineLevel="0" collapsed="false">
      <c r="A15" s="13" t="s">
        <v>564</v>
      </c>
      <c r="B15" s="14" t="s">
        <v>714</v>
      </c>
      <c r="C15" s="14" t="s">
        <v>95</v>
      </c>
      <c r="D15" s="46" t="n">
        <f aca="false">MAX(0,D12-D13-D14)</f>
        <v>0</v>
      </c>
      <c r="E15" s="46" t="n">
        <f aca="false">MAX(0,E12-E13-E14)</f>
        <v>0</v>
      </c>
      <c r="F15" s="46" t="n">
        <f aca="false">MAX(0,F12-F13-F14)</f>
        <v>0</v>
      </c>
      <c r="G15" s="46" t="n">
        <f aca="false">MAX(0,G12-G13-G14)</f>
        <v>0</v>
      </c>
      <c r="H15" s="46" t="n">
        <f aca="false">MAX(0,H12-H13-H14)</f>
        <v>0</v>
      </c>
      <c r="I15" s="46" t="n">
        <f aca="false">MAX(0,I12-I13-I14)</f>
        <v>0</v>
      </c>
      <c r="J15" s="46" t="n">
        <f aca="false">MAX(0,J12-J13-J14)</f>
        <v>0</v>
      </c>
      <c r="K15" s="46" t="n">
        <f aca="false">MAX(0,K12-K13-K14)</f>
        <v>0</v>
      </c>
      <c r="L15" s="46" t="n">
        <f aca="false">MAX(0,L12-L13-L14)</f>
        <v>0</v>
      </c>
      <c r="M15" s="46" t="n">
        <f aca="false">MAX(0,M12-M13-M14)</f>
        <v>0</v>
      </c>
      <c r="N15" s="46" t="n">
        <f aca="false">MAX(0,N12-N13-N14)</f>
        <v>0</v>
      </c>
      <c r="O15" s="46" t="n">
        <f aca="false">MAX(0,O12-O13-O14)</f>
        <v>0</v>
      </c>
      <c r="P15" s="46" t="n">
        <f aca="false">MAX(0,P12-P13-P14)</f>
        <v>0</v>
      </c>
      <c r="Q15" s="46" t="n">
        <f aca="false">MAX(0,Q12-Q13-Q14)</f>
        <v>0</v>
      </c>
      <c r="R15" s="46" t="n">
        <f aca="false">MAX(0,R12-R13-R14)</f>
        <v>0</v>
      </c>
      <c r="S15" s="46" t="n">
        <f aca="false">MAX(0,S12-S13-S14)</f>
        <v>0</v>
      </c>
      <c r="T15" s="46" t="n">
        <f aca="false">MAX(0,T12-T13-T14)</f>
        <v>0</v>
      </c>
      <c r="U15" s="46" t="n">
        <f aca="false">MAX(0,U12-U13-U14)</f>
        <v>0</v>
      </c>
      <c r="V15" s="20" t="n">
        <f aca="false">IFERROR(SUMIF(D$4:U$4,"运营",D15:U15)/0_参数!$C$10,0)</f>
        <v>0</v>
      </c>
    </row>
    <row r="16" customFormat="false" ht="15" hidden="false" customHeight="false" outlineLevel="0" collapsed="false">
      <c r="A16" s="13" t="s">
        <v>567</v>
      </c>
      <c r="B16" s="14" t="s">
        <v>715</v>
      </c>
      <c r="C16" s="14" t="s">
        <v>95</v>
      </c>
      <c r="D16" s="46" t="n">
        <f aca="false">IF(D$4="运营",MAX(0,D14+D13-D12),0)</f>
        <v>0</v>
      </c>
      <c r="E16" s="46" t="n">
        <f aca="false">IF(E$4="运营",MAX(0,E14+E13-E12),0)</f>
        <v>11531.5090006115</v>
      </c>
      <c r="F16" s="46" t="n">
        <f aca="false">IF(F$4="运营",MAX(0,F14+F13-F12),0)</f>
        <v>10296.5210256334</v>
      </c>
      <c r="G16" s="46" t="n">
        <f aca="false">IF(G$4="运营",MAX(0,G14+G13-G12),0)</f>
        <v>9061.53305065527</v>
      </c>
      <c r="H16" s="46" t="n">
        <f aca="false">IF(H$4="运营",MAX(0,H14+H13-H12),0)</f>
        <v>7879.89413228092</v>
      </c>
      <c r="I16" s="46" t="n">
        <f aca="false">IF(I$4="运营",MAX(0,I14+I13-I12),0)</f>
        <v>6698.25521390657</v>
      </c>
      <c r="J16" s="46" t="n">
        <f aca="false">IF(J$4="运营",MAX(0,J14+J13-J12),0)</f>
        <v>5516.61629553221</v>
      </c>
      <c r="K16" s="46" t="n">
        <f aca="false">IF(K$4="运营",MAX(0,K14+K13-K12),0)</f>
        <v>4388.32643376164</v>
      </c>
      <c r="L16" s="46" t="n">
        <f aca="false">IF(L$4="运营",MAX(0,L14+L13-L12),0)</f>
        <v>3260.03657199106</v>
      </c>
      <c r="M16" s="46" t="n">
        <f aca="false">IF(M$4="运营",MAX(0,M14+M13-M12),0)</f>
        <v>2131.74671022048</v>
      </c>
      <c r="N16" s="46" t="n">
        <f aca="false">IF(N$4="运营",MAX(0,N14+N13-N12),0)</f>
        <v>1003.4568484499</v>
      </c>
      <c r="O16" s="46" t="n">
        <f aca="false">IF(O$4="运营",MAX(0,O14+O13-O12),0)</f>
        <v>0</v>
      </c>
      <c r="P16" s="46" t="n">
        <f aca="false">IF(P$4="运营",MAX(0,P14+P13-P12),0)</f>
        <v>0</v>
      </c>
      <c r="Q16" s="46" t="n">
        <f aca="false">IF(Q$4="运营",MAX(0,Q14+Q13-Q12),0)</f>
        <v>0</v>
      </c>
      <c r="R16" s="46" t="n">
        <f aca="false">IF(R$4="运营",MAX(0,R14+R13-R12),0)</f>
        <v>0</v>
      </c>
      <c r="S16" s="46" t="n">
        <f aca="false">IF(S$4="运营",MAX(0,S14+S13-S12),0)</f>
        <v>0</v>
      </c>
      <c r="T16" s="46" t="n">
        <f aca="false">IF(T$4="运营",MAX(0,T14+T13-T12),0)</f>
        <v>0</v>
      </c>
      <c r="U16" s="46" t="n">
        <f aca="false">IF(U$4="运营",MAX(0,U14+U13-U12),0)</f>
        <v>0</v>
      </c>
      <c r="V16" s="14"/>
    </row>
    <row r="17" customFormat="false" ht="15" hidden="false" customHeight="false" outlineLevel="0" collapsed="false">
      <c r="A17" s="13" t="s">
        <v>570</v>
      </c>
      <c r="B17" s="54" t="s">
        <v>716</v>
      </c>
      <c r="C17" s="14" t="s">
        <v>95</v>
      </c>
      <c r="D17" s="67" t="n">
        <f aca="false">D15*(0_参数!$C$82+0_参数!$C$83+0_参数!$C$84)</f>
        <v>0</v>
      </c>
      <c r="E17" s="67" t="n">
        <f aca="false">E15*(0_参数!$C$82+0_参数!$C$83+0_参数!$C$84)</f>
        <v>0</v>
      </c>
      <c r="F17" s="67" t="n">
        <f aca="false">F15*(0_参数!$C$82+0_参数!$C$83+0_参数!$C$84)</f>
        <v>0</v>
      </c>
      <c r="G17" s="67" t="n">
        <f aca="false">G15*(0_参数!$C$82+0_参数!$C$83+0_参数!$C$84)</f>
        <v>0</v>
      </c>
      <c r="H17" s="67" t="n">
        <f aca="false">H15*(0_参数!$C$82+0_参数!$C$83+0_参数!$C$84)</f>
        <v>0</v>
      </c>
      <c r="I17" s="67" t="n">
        <f aca="false">I15*(0_参数!$C$82+0_参数!$C$83+0_参数!$C$84)</f>
        <v>0</v>
      </c>
      <c r="J17" s="67" t="n">
        <f aca="false">J15*(0_参数!$C$82+0_参数!$C$83+0_参数!$C$84)</f>
        <v>0</v>
      </c>
      <c r="K17" s="67" t="n">
        <f aca="false">K15*(0_参数!$C$82+0_参数!$C$83+0_参数!$C$84)</f>
        <v>0</v>
      </c>
      <c r="L17" s="67" t="n">
        <f aca="false">L15*(0_参数!$C$82+0_参数!$C$83+0_参数!$C$84)</f>
        <v>0</v>
      </c>
      <c r="M17" s="67" t="n">
        <f aca="false">M15*(0_参数!$C$82+0_参数!$C$83+0_参数!$C$84)</f>
        <v>0</v>
      </c>
      <c r="N17" s="67" t="n">
        <f aca="false">N15*(0_参数!$C$82+0_参数!$C$83+0_参数!$C$84)</f>
        <v>0</v>
      </c>
      <c r="O17" s="67" t="n">
        <f aca="false">O15*(0_参数!$C$82+0_参数!$C$83+0_参数!$C$84)</f>
        <v>0</v>
      </c>
      <c r="P17" s="67" t="n">
        <f aca="false">P15*(0_参数!$C$82+0_参数!$C$83+0_参数!$C$84)</f>
        <v>0</v>
      </c>
      <c r="Q17" s="67" t="n">
        <f aca="false">Q15*(0_参数!$C$82+0_参数!$C$83+0_参数!$C$84)</f>
        <v>0</v>
      </c>
      <c r="R17" s="67" t="n">
        <f aca="false">R15*(0_参数!$C$82+0_参数!$C$83+0_参数!$C$84)</f>
        <v>0</v>
      </c>
      <c r="S17" s="67" t="n">
        <f aca="false">S15*(0_参数!$C$82+0_参数!$C$83+0_参数!$C$84)</f>
        <v>0</v>
      </c>
      <c r="T17" s="67" t="n">
        <f aca="false">T15*(0_参数!$C$82+0_参数!$C$83+0_参数!$C$84)</f>
        <v>0</v>
      </c>
      <c r="U17" s="67" t="n">
        <f aca="false">U15*(0_参数!$C$82+0_参数!$C$83+0_参数!$C$84)</f>
        <v>0</v>
      </c>
      <c r="V17" s="67" t="n">
        <f aca="false">IFERROR(SUMIF(D$4:U$4,"运营",D17:U17)/0_参数!$C$10,0)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21" min="4" style="0" width="11"/>
    <col collapsed="false" customWidth="true" hidden="false" outlineLevel="0" max="22" min="22" style="0" width="13"/>
  </cols>
  <sheetData>
    <row r="1" customFormat="false" ht="21.6" hidden="false" customHeight="false" outlineLevel="0" collapsed="false">
      <c r="A1" s="6" t="s">
        <v>717</v>
      </c>
    </row>
    <row r="2" customFormat="false" ht="15" hidden="false" customHeight="false" outlineLevel="0" collapsed="false">
      <c r="A2" s="7" t="s">
        <v>718</v>
      </c>
    </row>
    <row r="3" customFormat="false" ht="15" hidden="false" customHeight="false" outlineLevel="0" collapsed="false">
      <c r="A3" s="27" t="s">
        <v>25</v>
      </c>
      <c r="B3" s="27" t="s">
        <v>611</v>
      </c>
      <c r="C3" s="27" t="s">
        <v>612</v>
      </c>
      <c r="D3" s="61" t="n">
        <v>1</v>
      </c>
      <c r="E3" s="61" t="n">
        <f aca="false">D3+1</f>
        <v>2</v>
      </c>
      <c r="F3" s="61" t="n">
        <f aca="false">E3+1</f>
        <v>3</v>
      </c>
      <c r="G3" s="61" t="n">
        <f aca="false">F3+1</f>
        <v>4</v>
      </c>
      <c r="H3" s="61" t="n">
        <f aca="false">G3+1</f>
        <v>5</v>
      </c>
      <c r="I3" s="61" t="n">
        <f aca="false">H3+1</f>
        <v>6</v>
      </c>
      <c r="J3" s="61" t="n">
        <f aca="false">I3+1</f>
        <v>7</v>
      </c>
      <c r="K3" s="61" t="n">
        <f aca="false">J3+1</f>
        <v>8</v>
      </c>
      <c r="L3" s="61" t="n">
        <f aca="false">K3+1</f>
        <v>9</v>
      </c>
      <c r="M3" s="61" t="n">
        <f aca="false">L3+1</f>
        <v>10</v>
      </c>
      <c r="N3" s="61" t="n">
        <f aca="false">M3+1</f>
        <v>11</v>
      </c>
      <c r="O3" s="61" t="n">
        <f aca="false">N3+1</f>
        <v>12</v>
      </c>
      <c r="P3" s="61" t="n">
        <f aca="false">O3+1</f>
        <v>13</v>
      </c>
      <c r="Q3" s="61" t="n">
        <f aca="false">P3+1</f>
        <v>14</v>
      </c>
      <c r="R3" s="61" t="n">
        <f aca="false">Q3+1</f>
        <v>15</v>
      </c>
      <c r="S3" s="61" t="n">
        <f aca="false">R3+1</f>
        <v>16</v>
      </c>
      <c r="T3" s="61" t="n">
        <f aca="false">S3+1</f>
        <v>17</v>
      </c>
      <c r="U3" s="61" t="n">
        <f aca="false">T3+1</f>
        <v>18</v>
      </c>
      <c r="V3" s="8" t="s">
        <v>613</v>
      </c>
    </row>
    <row r="4" customFormat="false" ht="15" hidden="false" customHeight="false" outlineLevel="0" collapsed="false">
      <c r="A4" s="62"/>
      <c r="B4" s="27" t="s">
        <v>614</v>
      </c>
      <c r="C4" s="62"/>
      <c r="D4" s="63" t="str">
        <f aca="false">IF(D$3&lt;=0_参数!$C$9,"建设",IF(D$3&lt;=0_参数!$C$9+0_参数!$C$10,"运营",""))</f>
        <v>建设</v>
      </c>
      <c r="E4" s="63" t="str">
        <f aca="false">IF(E$3&lt;=0_参数!$C$9,"建设",IF(E$3&lt;=0_参数!$C$9+0_参数!$C$10,"运营",""))</f>
        <v>运营</v>
      </c>
      <c r="F4" s="63" t="str">
        <f aca="false">IF(F$3&lt;=0_参数!$C$9,"建设",IF(F$3&lt;=0_参数!$C$9+0_参数!$C$10,"运营",""))</f>
        <v>运营</v>
      </c>
      <c r="G4" s="63" t="str">
        <f aca="false">IF(G$3&lt;=0_参数!$C$9,"建设",IF(G$3&lt;=0_参数!$C$9+0_参数!$C$10,"运营",""))</f>
        <v>运营</v>
      </c>
      <c r="H4" s="63" t="str">
        <f aca="false">IF(H$3&lt;=0_参数!$C$9,"建设",IF(H$3&lt;=0_参数!$C$9+0_参数!$C$10,"运营",""))</f>
        <v>运营</v>
      </c>
      <c r="I4" s="63" t="str">
        <f aca="false">IF(I$3&lt;=0_参数!$C$9,"建设",IF(I$3&lt;=0_参数!$C$9+0_参数!$C$10,"运营",""))</f>
        <v>运营</v>
      </c>
      <c r="J4" s="63" t="str">
        <f aca="false">IF(J$3&lt;=0_参数!$C$9,"建设",IF(J$3&lt;=0_参数!$C$9+0_参数!$C$10,"运营",""))</f>
        <v>运营</v>
      </c>
      <c r="K4" s="63" t="str">
        <f aca="false">IF(K$3&lt;=0_参数!$C$9,"建设",IF(K$3&lt;=0_参数!$C$9+0_参数!$C$10,"运营",""))</f>
        <v>运营</v>
      </c>
      <c r="L4" s="63" t="str">
        <f aca="false">IF(L$3&lt;=0_参数!$C$9,"建设",IF(L$3&lt;=0_参数!$C$9+0_参数!$C$10,"运营",""))</f>
        <v>运营</v>
      </c>
      <c r="M4" s="63" t="str">
        <f aca="false">IF(M$3&lt;=0_参数!$C$9,"建设",IF(M$3&lt;=0_参数!$C$9+0_参数!$C$10,"运营",""))</f>
        <v>运营</v>
      </c>
      <c r="N4" s="63" t="str">
        <f aca="false">IF(N$3&lt;=0_参数!$C$9,"建设",IF(N$3&lt;=0_参数!$C$9+0_参数!$C$10,"运营",""))</f>
        <v>运营</v>
      </c>
      <c r="O4" s="63" t="str">
        <f aca="false">IF(O$3&lt;=0_参数!$C$9,"建设",IF(O$3&lt;=0_参数!$C$9+0_参数!$C$10,"运营",""))</f>
        <v/>
      </c>
      <c r="P4" s="63" t="str">
        <f aca="false">IF(P$3&lt;=0_参数!$C$9,"建设",IF(P$3&lt;=0_参数!$C$9+0_参数!$C$10,"运营",""))</f>
        <v/>
      </c>
      <c r="Q4" s="63" t="str">
        <f aca="false">IF(Q$3&lt;=0_参数!$C$9,"建设",IF(Q$3&lt;=0_参数!$C$9+0_参数!$C$10,"运营",""))</f>
        <v/>
      </c>
      <c r="R4" s="63" t="str">
        <f aca="false">IF(R$3&lt;=0_参数!$C$9,"建设",IF(R$3&lt;=0_参数!$C$9+0_参数!$C$10,"运营",""))</f>
        <v/>
      </c>
      <c r="S4" s="63" t="str">
        <f aca="false">IF(S$3&lt;=0_参数!$C$9,"建设",IF(S$3&lt;=0_参数!$C$9+0_参数!$C$10,"运营",""))</f>
        <v/>
      </c>
      <c r="T4" s="63" t="str">
        <f aca="false">IF(T$3&lt;=0_参数!$C$9,"建设",IF(T$3&lt;=0_参数!$C$9+0_参数!$C$10,"运营",""))</f>
        <v/>
      </c>
      <c r="U4" s="63" t="str">
        <f aca="false">IF(U$3&lt;=0_参数!$C$9,"建设",IF(U$3&lt;=0_参数!$C$9+0_参数!$C$10,"运营",""))</f>
        <v/>
      </c>
      <c r="V4" s="62"/>
    </row>
    <row r="5" customFormat="false" ht="15" hidden="false" customHeight="false" outlineLevel="0" collapsed="false">
      <c r="A5" s="62"/>
      <c r="B5" s="27" t="s">
        <v>615</v>
      </c>
      <c r="C5" s="62"/>
      <c r="D5" s="64" t="n">
        <f aca="false">IF(D$4="运营",D$3-0_参数!$C$9,0)</f>
        <v>0</v>
      </c>
      <c r="E5" s="64" t="n">
        <f aca="false">IF(E$4="运营",E$3-0_参数!$C$9,0)</f>
        <v>1</v>
      </c>
      <c r="F5" s="64" t="n">
        <f aca="false">IF(F$4="运营",F$3-0_参数!$C$9,0)</f>
        <v>2</v>
      </c>
      <c r="G5" s="64" t="n">
        <f aca="false">IF(G$4="运营",G$3-0_参数!$C$9,0)</f>
        <v>3</v>
      </c>
      <c r="H5" s="64" t="n">
        <f aca="false">IF(H$4="运营",H$3-0_参数!$C$9,0)</f>
        <v>4</v>
      </c>
      <c r="I5" s="64" t="n">
        <f aca="false">IF(I$4="运营",I$3-0_参数!$C$9,0)</f>
        <v>5</v>
      </c>
      <c r="J5" s="64" t="n">
        <f aca="false">IF(J$4="运营",J$3-0_参数!$C$9,0)</f>
        <v>6</v>
      </c>
      <c r="K5" s="64" t="n">
        <f aca="false">IF(K$4="运营",K$3-0_参数!$C$9,0)</f>
        <v>7</v>
      </c>
      <c r="L5" s="64" t="n">
        <f aca="false">IF(L$4="运营",L$3-0_参数!$C$9,0)</f>
        <v>8</v>
      </c>
      <c r="M5" s="64" t="n">
        <f aca="false">IF(M$4="运营",M$3-0_参数!$C$9,0)</f>
        <v>9</v>
      </c>
      <c r="N5" s="64" t="n">
        <f aca="false">IF(N$4="运营",N$3-0_参数!$C$9,0)</f>
        <v>10</v>
      </c>
      <c r="O5" s="64" t="n">
        <f aca="false">IF(O$4="运营",O$3-0_参数!$C$9,0)</f>
        <v>0</v>
      </c>
      <c r="P5" s="64" t="n">
        <f aca="false">IF(P$4="运营",P$3-0_参数!$C$9,0)</f>
        <v>0</v>
      </c>
      <c r="Q5" s="64" t="n">
        <f aca="false">IF(Q$4="运营",Q$3-0_参数!$C$9,0)</f>
        <v>0</v>
      </c>
      <c r="R5" s="64" t="n">
        <f aca="false">IF(R$4="运营",R$3-0_参数!$C$9,0)</f>
        <v>0</v>
      </c>
      <c r="S5" s="64" t="n">
        <f aca="false">IF(S$4="运营",S$3-0_参数!$C$9,0)</f>
        <v>0</v>
      </c>
      <c r="T5" s="64" t="n">
        <f aca="false">IF(T$4="运营",T$3-0_参数!$C$9,0)</f>
        <v>0</v>
      </c>
      <c r="U5" s="64" t="n">
        <f aca="false">IF(U$4="运营",U$3-0_参数!$C$9,0)</f>
        <v>0</v>
      </c>
      <c r="V5" s="62"/>
    </row>
    <row r="6" customFormat="false" ht="15" hidden="false" customHeight="false" outlineLevel="0" collapsed="false">
      <c r="A6" s="62"/>
      <c r="B6" s="27" t="s">
        <v>616</v>
      </c>
      <c r="C6" s="62"/>
      <c r="D6" s="65" t="n">
        <f aca="false">IF(D$4="建设",D$3,0)</f>
        <v>1</v>
      </c>
      <c r="E6" s="65" t="n">
        <f aca="false">IF(E$4="建设",E$3,0)</f>
        <v>0</v>
      </c>
      <c r="F6" s="65" t="n">
        <f aca="false">IF(F$4="建设",F$3,0)</f>
        <v>0</v>
      </c>
      <c r="G6" s="65" t="n">
        <f aca="false">IF(G$4="建设",G$3,0)</f>
        <v>0</v>
      </c>
      <c r="H6" s="65" t="n">
        <f aca="false">IF(H$4="建设",H$3,0)</f>
        <v>0</v>
      </c>
      <c r="I6" s="65" t="n">
        <f aca="false">IF(I$4="建设",I$3,0)</f>
        <v>0</v>
      </c>
      <c r="J6" s="65" t="n">
        <f aca="false">IF(J$4="建设",J$3,0)</f>
        <v>0</v>
      </c>
      <c r="K6" s="65" t="n">
        <f aca="false">IF(K$4="建设",K$3,0)</f>
        <v>0</v>
      </c>
      <c r="L6" s="65" t="n">
        <f aca="false">IF(L$4="建设",L$3,0)</f>
        <v>0</v>
      </c>
      <c r="M6" s="65" t="n">
        <f aca="false">IF(M$4="建设",M$3,0)</f>
        <v>0</v>
      </c>
      <c r="N6" s="65" t="n">
        <f aca="false">IF(N$4="建设",N$3,0)</f>
        <v>0</v>
      </c>
      <c r="O6" s="65" t="n">
        <f aca="false">IF(O$4="建设",O$3,0)</f>
        <v>0</v>
      </c>
      <c r="P6" s="65" t="n">
        <f aca="false">IF(P$4="建设",P$3,0)</f>
        <v>0</v>
      </c>
      <c r="Q6" s="65" t="n">
        <f aca="false">IF(Q$4="建设",Q$3,0)</f>
        <v>0</v>
      </c>
      <c r="R6" s="65" t="n">
        <f aca="false">IF(R$4="建设",R$3,0)</f>
        <v>0</v>
      </c>
      <c r="S6" s="65" t="n">
        <f aca="false">IF(S$4="建设",S$3,0)</f>
        <v>0</v>
      </c>
      <c r="T6" s="65" t="n">
        <f aca="false">IF(T$4="建设",T$3,0)</f>
        <v>0</v>
      </c>
      <c r="U6" s="65" t="n">
        <f aca="false">IF(U$4="建设",U$3,0)</f>
        <v>0</v>
      </c>
      <c r="V6" s="62"/>
    </row>
    <row r="7" customFormat="false" ht="15" hidden="false" customHeight="false" outlineLevel="0" collapsed="false">
      <c r="A7" s="13" t="s">
        <v>30</v>
      </c>
      <c r="B7" s="14" t="s">
        <v>710</v>
      </c>
      <c r="C7" s="14" t="s">
        <v>95</v>
      </c>
      <c r="D7" s="20" t="n">
        <f aca="false">6_收入税金!D$11</f>
        <v>0</v>
      </c>
      <c r="E7" s="20" t="n">
        <f aca="false">6_收入税金!E$11</f>
        <v>21301.1320754717</v>
      </c>
      <c r="F7" s="20" t="n">
        <f aca="false">6_收入税金!F$11</f>
        <v>23963.7735849057</v>
      </c>
      <c r="G7" s="20" t="n">
        <f aca="false">6_收入税金!G$11</f>
        <v>23963.7735849057</v>
      </c>
      <c r="H7" s="20" t="n">
        <f aca="false">6_收入税金!H$11</f>
        <v>23963.7735849057</v>
      </c>
      <c r="I7" s="20" t="n">
        <f aca="false">6_收入税金!I$11</f>
        <v>23963.7735849057</v>
      </c>
      <c r="J7" s="20" t="n">
        <f aca="false">6_收入税金!J$11</f>
        <v>23963.7735849057</v>
      </c>
      <c r="K7" s="20" t="n">
        <f aca="false">6_收入税金!K$11</f>
        <v>23963.7735849057</v>
      </c>
      <c r="L7" s="20" t="n">
        <f aca="false">6_收入税金!L$11</f>
        <v>23963.7735849057</v>
      </c>
      <c r="M7" s="20" t="n">
        <f aca="false">6_收入税金!M$11</f>
        <v>23963.7735849057</v>
      </c>
      <c r="N7" s="20" t="n">
        <f aca="false">6_收入税金!N$11</f>
        <v>23963.7735849057</v>
      </c>
      <c r="O7" s="20" t="n">
        <f aca="false">6_收入税金!O$11</f>
        <v>0</v>
      </c>
      <c r="P7" s="20" t="n">
        <f aca="false">6_收入税金!P$11</f>
        <v>0</v>
      </c>
      <c r="Q7" s="20" t="n">
        <f aca="false">6_收入税金!Q$11</f>
        <v>0</v>
      </c>
      <c r="R7" s="20" t="n">
        <f aca="false">6_收入税金!R$11</f>
        <v>0</v>
      </c>
      <c r="S7" s="20" t="n">
        <f aca="false">6_收入税金!S$11</f>
        <v>0</v>
      </c>
      <c r="T7" s="20" t="n">
        <f aca="false">6_收入税金!T$11</f>
        <v>0</v>
      </c>
      <c r="U7" s="20" t="n">
        <f aca="false">6_收入税金!U$11</f>
        <v>0</v>
      </c>
      <c r="V7" s="20" t="n">
        <f aca="false">IFERROR(SUMIF(D$4:U$4,"运营",D7:U7)/0_参数!$C$10,0)</f>
        <v>23697.5094339623</v>
      </c>
    </row>
    <row r="8" customFormat="false" ht="15" hidden="false" customHeight="false" outlineLevel="0" collapsed="false">
      <c r="A8" s="13" t="s">
        <v>56</v>
      </c>
      <c r="B8" s="14" t="s">
        <v>719</v>
      </c>
      <c r="C8" s="14" t="s">
        <v>95</v>
      </c>
      <c r="D8" s="20" t="n">
        <f aca="false">6_收入税金!D$17</f>
        <v>0</v>
      </c>
      <c r="E8" s="20" t="n">
        <f aca="false">6_收入税金!E$17</f>
        <v>0</v>
      </c>
      <c r="F8" s="20" t="n">
        <f aca="false">6_收入税金!F$17</f>
        <v>0</v>
      </c>
      <c r="G8" s="20" t="n">
        <f aca="false">6_收入税金!G$17</f>
        <v>0</v>
      </c>
      <c r="H8" s="20" t="n">
        <f aca="false">6_收入税金!H$17</f>
        <v>0</v>
      </c>
      <c r="I8" s="20" t="n">
        <f aca="false">6_收入税金!I$17</f>
        <v>0</v>
      </c>
      <c r="J8" s="20" t="n">
        <f aca="false">6_收入税金!J$17</f>
        <v>0</v>
      </c>
      <c r="K8" s="20" t="n">
        <f aca="false">6_收入税金!K$17</f>
        <v>0</v>
      </c>
      <c r="L8" s="20" t="n">
        <f aca="false">6_收入税金!L$17</f>
        <v>0</v>
      </c>
      <c r="M8" s="20" t="n">
        <f aca="false">6_收入税金!M$17</f>
        <v>0</v>
      </c>
      <c r="N8" s="20" t="n">
        <f aca="false">6_收入税金!N$17</f>
        <v>0</v>
      </c>
      <c r="O8" s="20" t="n">
        <f aca="false">6_收入税金!O$17</f>
        <v>0</v>
      </c>
      <c r="P8" s="20" t="n">
        <f aca="false">6_收入税金!P$17</f>
        <v>0</v>
      </c>
      <c r="Q8" s="20" t="n">
        <f aca="false">6_收入税金!Q$17</f>
        <v>0</v>
      </c>
      <c r="R8" s="20" t="n">
        <f aca="false">6_收入税金!R$17</f>
        <v>0</v>
      </c>
      <c r="S8" s="20" t="n">
        <f aca="false">6_收入税金!S$17</f>
        <v>0</v>
      </c>
      <c r="T8" s="20" t="n">
        <f aca="false">6_收入税金!T$17</f>
        <v>0</v>
      </c>
      <c r="U8" s="20" t="n">
        <f aca="false">6_收入税金!U$17</f>
        <v>0</v>
      </c>
      <c r="V8" s="20" t="n">
        <f aca="false">IFERROR(SUMIF(D$4:U$4,"运营",D8:U8)/0_参数!$C$10,0)</f>
        <v>0</v>
      </c>
    </row>
    <row r="9" customFormat="false" ht="15" hidden="false" customHeight="false" outlineLevel="0" collapsed="false">
      <c r="A9" s="13" t="s">
        <v>78</v>
      </c>
      <c r="B9" s="14" t="s">
        <v>720</v>
      </c>
      <c r="C9" s="14" t="s">
        <v>95</v>
      </c>
      <c r="D9" s="20" t="n">
        <f aca="false">4_总成本费用!D$27</f>
        <v>0</v>
      </c>
      <c r="E9" s="20" t="n">
        <f aca="false">4_总成本费用!E$27</f>
        <v>25247.0078002535</v>
      </c>
      <c r="F9" s="20" t="n">
        <f aca="false">4_总成本费用!F$27</f>
        <v>25037.326352483</v>
      </c>
      <c r="G9" s="20" t="n">
        <f aca="false">4_总成本费用!G$27</f>
        <v>24728.1846822348</v>
      </c>
      <c r="H9" s="20" t="n">
        <f aca="false">4_总成本费用!H$27</f>
        <v>25305.4758421753</v>
      </c>
      <c r="I9" s="20" t="n">
        <f aca="false">4_总成本费用!I$27</f>
        <v>24993.6160587196</v>
      </c>
      <c r="J9" s="20" t="n">
        <f aca="false">4_总成本费用!J$27</f>
        <v>6648.04028035317</v>
      </c>
      <c r="K9" s="20" t="n">
        <f aca="false">4_总成本费用!K$27</f>
        <v>7225.33144029365</v>
      </c>
      <c r="L9" s="20" t="n">
        <f aca="false">4_总成本费用!L$27</f>
        <v>6913.47165683791</v>
      </c>
      <c r="M9" s="20" t="n">
        <f aca="false">4_总成本费用!M$27</f>
        <v>6601.61187338216</v>
      </c>
      <c r="N9" s="20" t="n">
        <f aca="false">4_总成本费用!N$27</f>
        <v>6289.75208992642</v>
      </c>
      <c r="O9" s="20" t="n">
        <f aca="false">4_总成本费用!O$27</f>
        <v>0</v>
      </c>
      <c r="P9" s="20" t="n">
        <f aca="false">4_总成本费用!P$27</f>
        <v>0</v>
      </c>
      <c r="Q9" s="20" t="n">
        <f aca="false">4_总成本费用!Q$27</f>
        <v>0</v>
      </c>
      <c r="R9" s="20" t="n">
        <f aca="false">4_总成本费用!R$27</f>
        <v>0</v>
      </c>
      <c r="S9" s="20" t="n">
        <f aca="false">4_总成本费用!S$27</f>
        <v>0</v>
      </c>
      <c r="T9" s="20" t="n">
        <f aca="false">4_总成本费用!T$27</f>
        <v>0</v>
      </c>
      <c r="U9" s="20" t="n">
        <f aca="false">4_总成本费用!U$27</f>
        <v>0</v>
      </c>
      <c r="V9" s="20" t="n">
        <f aca="false">IFERROR(SUMIF(D$4:U$4,"运营",D9:U9)/0_参数!$C$10,0)</f>
        <v>15898.981807666</v>
      </c>
    </row>
    <row r="10" customFormat="false" ht="15" hidden="false" customHeight="false" outlineLevel="0" collapsed="false">
      <c r="A10" s="13" t="s">
        <v>91</v>
      </c>
      <c r="B10" s="14" t="s">
        <v>721</v>
      </c>
      <c r="C10" s="14" t="s">
        <v>722</v>
      </c>
      <c r="D10" s="40" t="n">
        <f aca="false">0</f>
        <v>0</v>
      </c>
      <c r="E10" s="40" t="n">
        <f aca="false">0</f>
        <v>0</v>
      </c>
      <c r="F10" s="40" t="n">
        <f aca="false">0</f>
        <v>0</v>
      </c>
      <c r="G10" s="40" t="n">
        <f aca="false">0</f>
        <v>0</v>
      </c>
      <c r="H10" s="40" t="n">
        <f aca="false">0</f>
        <v>0</v>
      </c>
      <c r="I10" s="40" t="n">
        <f aca="false">0</f>
        <v>0</v>
      </c>
      <c r="J10" s="40" t="n">
        <f aca="false">0</f>
        <v>0</v>
      </c>
      <c r="K10" s="40" t="n">
        <f aca="false">0</f>
        <v>0</v>
      </c>
      <c r="L10" s="40" t="n">
        <f aca="false">0</f>
        <v>0</v>
      </c>
      <c r="M10" s="40" t="n">
        <f aca="false">0</f>
        <v>0</v>
      </c>
      <c r="N10" s="40" t="n">
        <f aca="false">0</f>
        <v>0</v>
      </c>
      <c r="O10" s="40" t="n">
        <f aca="false">0</f>
        <v>0</v>
      </c>
      <c r="P10" s="40" t="n">
        <f aca="false">0</f>
        <v>0</v>
      </c>
      <c r="Q10" s="40" t="n">
        <f aca="false">0</f>
        <v>0</v>
      </c>
      <c r="R10" s="40" t="n">
        <f aca="false">0</f>
        <v>0</v>
      </c>
      <c r="S10" s="40" t="n">
        <f aca="false">0</f>
        <v>0</v>
      </c>
      <c r="T10" s="40" t="n">
        <f aca="false">0</f>
        <v>0</v>
      </c>
      <c r="U10" s="40" t="n">
        <f aca="false">0</f>
        <v>0</v>
      </c>
      <c r="V10" s="20" t="n">
        <f aca="false">IFERROR(SUMIF(D$4:U$4,"运营",D10:U10)/0_参数!$C$10,0)</f>
        <v>0</v>
      </c>
    </row>
    <row r="11" customFormat="false" ht="15" hidden="false" customHeight="false" outlineLevel="0" collapsed="false">
      <c r="A11" s="14"/>
      <c r="B11" s="14" t="s">
        <v>698</v>
      </c>
      <c r="C11" s="14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14"/>
    </row>
    <row r="12" customFormat="false" ht="15" hidden="false" customHeight="false" outlineLevel="0" collapsed="false">
      <c r="A12" s="66" t="s">
        <v>118</v>
      </c>
      <c r="B12" s="50" t="s">
        <v>723</v>
      </c>
      <c r="C12" s="49" t="s">
        <v>95</v>
      </c>
      <c r="D12" s="51" t="n">
        <f aca="false">D7-D8-D9+D10</f>
        <v>0</v>
      </c>
      <c r="E12" s="51" t="n">
        <f aca="false">E7-E8-E9+E10</f>
        <v>-3945.87572478183</v>
      </c>
      <c r="F12" s="51" t="n">
        <f aca="false">F7-F8-F9+F10</f>
        <v>-1073.55276757737</v>
      </c>
      <c r="G12" s="51" t="n">
        <f aca="false">G7-G8-G9+G10</f>
        <v>-764.411097329175</v>
      </c>
      <c r="H12" s="51" t="n">
        <f aca="false">H7-H8-H9+H10</f>
        <v>-1341.70225726966</v>
      </c>
      <c r="I12" s="51" t="n">
        <f aca="false">I7-I8-I9+I10</f>
        <v>-1029.84247381391</v>
      </c>
      <c r="J12" s="51" t="n">
        <f aca="false">J7-J8-J9+J10</f>
        <v>17315.7333045525</v>
      </c>
      <c r="K12" s="51" t="n">
        <f aca="false">K7-K8-K9+K10</f>
        <v>16738.442144612</v>
      </c>
      <c r="L12" s="51" t="n">
        <f aca="false">L7-L8-L9+L10</f>
        <v>17050.3019280678</v>
      </c>
      <c r="M12" s="51" t="n">
        <f aca="false">M7-M8-M9+M10</f>
        <v>17362.1617115235</v>
      </c>
      <c r="N12" s="51" t="n">
        <f aca="false">N7-N8-N9+N10</f>
        <v>17674.0214949792</v>
      </c>
      <c r="O12" s="51" t="n">
        <f aca="false">O7-O8-O9+O10</f>
        <v>0</v>
      </c>
      <c r="P12" s="51" t="n">
        <f aca="false">P7-P8-P9+P10</f>
        <v>0</v>
      </c>
      <c r="Q12" s="51" t="n">
        <f aca="false">Q7-Q8-Q9+Q10</f>
        <v>0</v>
      </c>
      <c r="R12" s="51" t="n">
        <f aca="false">R7-R8-R9+R10</f>
        <v>0</v>
      </c>
      <c r="S12" s="51" t="n">
        <f aca="false">S7-S8-S9+S10</f>
        <v>0</v>
      </c>
      <c r="T12" s="51" t="n">
        <f aca="false">T7-T8-T9+T10</f>
        <v>0</v>
      </c>
      <c r="U12" s="51" t="n">
        <f aca="false">U7-U8-U9+U10</f>
        <v>0</v>
      </c>
      <c r="V12" s="60" t="n">
        <f aca="false">IFERROR(SUMIF(D$4:U$4,"运营",D12:U12)/0_参数!$C$10,0)</f>
        <v>7798.5276262963</v>
      </c>
    </row>
    <row r="13" customFormat="false" ht="15" hidden="false" customHeight="false" outlineLevel="0" collapsed="false">
      <c r="A13" s="13" t="s">
        <v>161</v>
      </c>
      <c r="B13" s="14" t="s">
        <v>724</v>
      </c>
      <c r="C13" s="14" t="s">
        <v>95</v>
      </c>
      <c r="D13" s="46" t="n">
        <f aca="false">IF(D$4="运营",MAX(0,D12),0)</f>
        <v>0</v>
      </c>
      <c r="E13" s="46" t="n">
        <f aca="false">IF(E$4="运营",MAX(0,E12+MIN(0,D30)),0)</f>
        <v>0</v>
      </c>
      <c r="F13" s="46" t="n">
        <f aca="false">IF(F$4="运营",MAX(0,F12+MIN(0,E30)),0)</f>
        <v>0</v>
      </c>
      <c r="G13" s="46" t="n">
        <f aca="false">IF(G$4="运营",MAX(0,G12+MIN(0,F30)),0)</f>
        <v>0</v>
      </c>
      <c r="H13" s="46" t="n">
        <f aca="false">IF(H$4="运营",MAX(0,H12+MIN(0,G30)),0)</f>
        <v>0</v>
      </c>
      <c r="I13" s="46" t="n">
        <f aca="false">IF(I$4="运营",MAX(0,I12+MIN(0,H30)),0)</f>
        <v>0</v>
      </c>
      <c r="J13" s="46" t="n">
        <f aca="false">IF(J$4="运营",MAX(0,J12+MIN(0,I30)),0)</f>
        <v>9160.34898378054</v>
      </c>
      <c r="K13" s="46" t="n">
        <f aca="false">IF(K$4="运营",MAX(0,K12+MIN(0,J30)),0)</f>
        <v>16738.442144612</v>
      </c>
      <c r="L13" s="46" t="n">
        <f aca="false">IF(L$4="运营",MAX(0,L12+MIN(0,K30)),0)</f>
        <v>17050.3019280678</v>
      </c>
      <c r="M13" s="46" t="n">
        <f aca="false">IF(M$4="运营",MAX(0,M12+MIN(0,L30)),0)</f>
        <v>17362.1617115235</v>
      </c>
      <c r="N13" s="46" t="n">
        <f aca="false">IF(N$4="运营",MAX(0,N12+MIN(0,M30)),0)</f>
        <v>17674.0214949792</v>
      </c>
      <c r="O13" s="46" t="n">
        <f aca="false">IF(O$4="运营",MAX(0,O12+MIN(0,N30)),0)</f>
        <v>0</v>
      </c>
      <c r="P13" s="46" t="n">
        <f aca="false">IF(P$4="运营",MAX(0,P12+MIN(0,O30)),0)</f>
        <v>0</v>
      </c>
      <c r="Q13" s="46" t="n">
        <f aca="false">IF(Q$4="运营",MAX(0,Q12+MIN(0,P30)),0)</f>
        <v>0</v>
      </c>
      <c r="R13" s="46" t="n">
        <f aca="false">IF(R$4="运营",MAX(0,R12+MIN(0,Q30)),0)</f>
        <v>0</v>
      </c>
      <c r="S13" s="46" t="n">
        <f aca="false">IF(S$4="运营",MAX(0,S12+MIN(0,R30)),0)</f>
        <v>0</v>
      </c>
      <c r="T13" s="46" t="n">
        <f aca="false">IF(T$4="运营",MAX(0,T12+MIN(0,S30)),0)</f>
        <v>0</v>
      </c>
      <c r="U13" s="46" t="n">
        <f aca="false">IF(U$4="运营",MAX(0,U12+MIN(0,T30)),0)</f>
        <v>0</v>
      </c>
      <c r="V13" s="20" t="n">
        <f aca="false">IFERROR(SUMIF(D$4:U$4,"运营",D13:U13)/0_参数!$C$10,0)</f>
        <v>7798.5276262963</v>
      </c>
    </row>
    <row r="14" customFormat="false" ht="15" hidden="false" customHeight="false" outlineLevel="0" collapsed="false">
      <c r="A14" s="13" t="s">
        <v>556</v>
      </c>
      <c r="B14" s="14" t="s">
        <v>725</v>
      </c>
      <c r="C14" s="14" t="s">
        <v>95</v>
      </c>
      <c r="D14" s="20" t="n">
        <f aca="false">D13*0_参数!$C$85</f>
        <v>0</v>
      </c>
      <c r="E14" s="20" t="n">
        <f aca="false">E13*0_参数!$C$85</f>
        <v>0</v>
      </c>
      <c r="F14" s="20" t="n">
        <f aca="false">F13*0_参数!$C$85</f>
        <v>0</v>
      </c>
      <c r="G14" s="20" t="n">
        <f aca="false">G13*0_参数!$C$85</f>
        <v>0</v>
      </c>
      <c r="H14" s="20" t="n">
        <f aca="false">H13*0_参数!$C$85</f>
        <v>0</v>
      </c>
      <c r="I14" s="20" t="n">
        <f aca="false">I13*0_参数!$C$85</f>
        <v>0</v>
      </c>
      <c r="J14" s="20" t="n">
        <f aca="false">J13*0_参数!$C$85</f>
        <v>2290.08724594514</v>
      </c>
      <c r="K14" s="20" t="n">
        <f aca="false">K13*0_参数!$C$85</f>
        <v>4184.610536153</v>
      </c>
      <c r="L14" s="20" t="n">
        <f aca="false">L13*0_参数!$C$85</f>
        <v>4262.57548201694</v>
      </c>
      <c r="M14" s="20" t="n">
        <f aca="false">M13*0_参数!$C$85</f>
        <v>4340.54042788088</v>
      </c>
      <c r="N14" s="20" t="n">
        <f aca="false">N13*0_参数!$C$85</f>
        <v>4418.50537374481</v>
      </c>
      <c r="O14" s="20" t="n">
        <f aca="false">O13*0_参数!$C$85</f>
        <v>0</v>
      </c>
      <c r="P14" s="20" t="n">
        <f aca="false">P13*0_参数!$C$85</f>
        <v>0</v>
      </c>
      <c r="Q14" s="20" t="n">
        <f aca="false">Q13*0_参数!$C$85</f>
        <v>0</v>
      </c>
      <c r="R14" s="20" t="n">
        <f aca="false">R13*0_参数!$C$85</f>
        <v>0</v>
      </c>
      <c r="S14" s="20" t="n">
        <f aca="false">S13*0_参数!$C$85</f>
        <v>0</v>
      </c>
      <c r="T14" s="20" t="n">
        <f aca="false">T13*0_参数!$C$85</f>
        <v>0</v>
      </c>
      <c r="U14" s="20" t="n">
        <f aca="false">U13*0_参数!$C$85</f>
        <v>0</v>
      </c>
      <c r="V14" s="20" t="n">
        <f aca="false">IFERROR(SUMIF(D$4:U$4,"运营",D14:U14)/0_参数!$C$10,0)</f>
        <v>1949.63190657408</v>
      </c>
    </row>
    <row r="15" customFormat="false" ht="15" hidden="false" customHeight="false" outlineLevel="0" collapsed="false">
      <c r="A15" s="66" t="s">
        <v>560</v>
      </c>
      <c r="B15" s="50" t="s">
        <v>726</v>
      </c>
      <c r="C15" s="49" t="s">
        <v>95</v>
      </c>
      <c r="D15" s="51" t="n">
        <f aca="false">D12-D14</f>
        <v>0</v>
      </c>
      <c r="E15" s="51" t="n">
        <f aca="false">E12-E14</f>
        <v>-3945.87572478183</v>
      </c>
      <c r="F15" s="51" t="n">
        <f aca="false">F12-F14</f>
        <v>-1073.55276757737</v>
      </c>
      <c r="G15" s="51" t="n">
        <f aca="false">G12-G14</f>
        <v>-764.411097329175</v>
      </c>
      <c r="H15" s="51" t="n">
        <f aca="false">H12-H14</f>
        <v>-1341.70225726966</v>
      </c>
      <c r="I15" s="51" t="n">
        <f aca="false">I12-I14</f>
        <v>-1029.84247381391</v>
      </c>
      <c r="J15" s="51" t="n">
        <f aca="false">J12-J14</f>
        <v>15025.6460586074</v>
      </c>
      <c r="K15" s="51" t="n">
        <f aca="false">K12-K14</f>
        <v>12553.831608459</v>
      </c>
      <c r="L15" s="51" t="n">
        <f aca="false">L12-L14</f>
        <v>12787.7264460508</v>
      </c>
      <c r="M15" s="51" t="n">
        <f aca="false">M12-M14</f>
        <v>13021.6212836426</v>
      </c>
      <c r="N15" s="51" t="n">
        <f aca="false">N12-N14</f>
        <v>13255.5161212344</v>
      </c>
      <c r="O15" s="51" t="n">
        <f aca="false">O12-O14</f>
        <v>0</v>
      </c>
      <c r="P15" s="51" t="n">
        <f aca="false">P12-P14</f>
        <v>0</v>
      </c>
      <c r="Q15" s="51" t="n">
        <f aca="false">Q12-Q14</f>
        <v>0</v>
      </c>
      <c r="R15" s="51" t="n">
        <f aca="false">R12-R14</f>
        <v>0</v>
      </c>
      <c r="S15" s="51" t="n">
        <f aca="false">S12-S14</f>
        <v>0</v>
      </c>
      <c r="T15" s="51" t="n">
        <f aca="false">T12-T14</f>
        <v>0</v>
      </c>
      <c r="U15" s="51" t="n">
        <f aca="false">U12-U14</f>
        <v>0</v>
      </c>
      <c r="V15" s="60" t="n">
        <f aca="false">IFERROR(SUMIF(D$4:U$4,"运营",D15:U15)/0_参数!$C$10,0)</f>
        <v>5848.89571972223</v>
      </c>
    </row>
    <row r="16" customFormat="false" ht="15" hidden="false" customHeight="false" outlineLevel="0" collapsed="false">
      <c r="A16" s="13" t="s">
        <v>564</v>
      </c>
      <c r="B16" s="14" t="s">
        <v>727</v>
      </c>
      <c r="C16" s="14" t="s">
        <v>95</v>
      </c>
      <c r="D16" s="20" t="n">
        <f aca="false">MAX(0,D15)*0_参数!$C$86</f>
        <v>0</v>
      </c>
      <c r="E16" s="20" t="n">
        <f aca="false">MAX(0,E15)*0_参数!$C$86</f>
        <v>0</v>
      </c>
      <c r="F16" s="20" t="n">
        <f aca="false">MAX(0,F15)*0_参数!$C$86</f>
        <v>0</v>
      </c>
      <c r="G16" s="20" t="n">
        <f aca="false">MAX(0,G15)*0_参数!$C$86</f>
        <v>0</v>
      </c>
      <c r="H16" s="20" t="n">
        <f aca="false">MAX(0,H15)*0_参数!$C$86</f>
        <v>0</v>
      </c>
      <c r="I16" s="20" t="n">
        <f aca="false">MAX(0,I15)*0_参数!$C$86</f>
        <v>0</v>
      </c>
      <c r="J16" s="20" t="n">
        <f aca="false">MAX(0,J15)*0_参数!$C$86</f>
        <v>1502.56460586074</v>
      </c>
      <c r="K16" s="20" t="n">
        <f aca="false">MAX(0,K15)*0_参数!$C$86</f>
        <v>1255.3831608459</v>
      </c>
      <c r="L16" s="20" t="n">
        <f aca="false">MAX(0,L15)*0_参数!$C$86</f>
        <v>1278.77264460508</v>
      </c>
      <c r="M16" s="20" t="n">
        <f aca="false">MAX(0,M15)*0_参数!$C$86</f>
        <v>1302.16212836426</v>
      </c>
      <c r="N16" s="20" t="n">
        <f aca="false">MAX(0,N15)*0_参数!$C$86</f>
        <v>1325.55161212344</v>
      </c>
      <c r="O16" s="20" t="n">
        <f aca="false">MAX(0,O15)*0_参数!$C$86</f>
        <v>0</v>
      </c>
      <c r="P16" s="20" t="n">
        <f aca="false">MAX(0,P15)*0_参数!$C$86</f>
        <v>0</v>
      </c>
      <c r="Q16" s="20" t="n">
        <f aca="false">MAX(0,Q15)*0_参数!$C$86</f>
        <v>0</v>
      </c>
      <c r="R16" s="20" t="n">
        <f aca="false">MAX(0,R15)*0_参数!$C$86</f>
        <v>0</v>
      </c>
      <c r="S16" s="20" t="n">
        <f aca="false">MAX(0,S15)*0_参数!$C$86</f>
        <v>0</v>
      </c>
      <c r="T16" s="20" t="n">
        <f aca="false">MAX(0,T15)*0_参数!$C$86</f>
        <v>0</v>
      </c>
      <c r="U16" s="20" t="n">
        <f aca="false">MAX(0,U15)*0_参数!$C$86</f>
        <v>0</v>
      </c>
      <c r="V16" s="46" t="n">
        <f aca="false">SUM(D16:U16)</f>
        <v>6664.43415179943</v>
      </c>
    </row>
    <row r="17" customFormat="false" ht="15" hidden="false" customHeight="false" outlineLevel="0" collapsed="false">
      <c r="A17" s="14"/>
      <c r="B17" s="14" t="s">
        <v>728</v>
      </c>
      <c r="C17" s="14" t="s">
        <v>95</v>
      </c>
      <c r="D17" s="46" t="n">
        <f aca="false">D16</f>
        <v>0</v>
      </c>
      <c r="E17" s="46" t="n">
        <f aca="false">IF(1=0,E16,D17+E16)</f>
        <v>0</v>
      </c>
      <c r="F17" s="46" t="n">
        <f aca="false">IF(2=0,F16,E17+F16)</f>
        <v>0</v>
      </c>
      <c r="G17" s="46" t="n">
        <f aca="false">IF(3=0,G16,F17+G16)</f>
        <v>0</v>
      </c>
      <c r="H17" s="46" t="n">
        <f aca="false">IF(4=0,H16,G17+H16)</f>
        <v>0</v>
      </c>
      <c r="I17" s="46" t="n">
        <f aca="false">IF(5=0,I16,H17+I16)</f>
        <v>0</v>
      </c>
      <c r="J17" s="46" t="n">
        <f aca="false">IF(6=0,J16,I17+J16)</f>
        <v>1502.56460586074</v>
      </c>
      <c r="K17" s="46" t="n">
        <f aca="false">IF(7=0,K16,J17+K16)</f>
        <v>2757.94776670664</v>
      </c>
      <c r="L17" s="46" t="n">
        <f aca="false">IF(8=0,L16,K17+L16)</f>
        <v>4036.72041131172</v>
      </c>
      <c r="M17" s="46" t="n">
        <f aca="false">IF(9=0,M16,L17+M16)</f>
        <v>5338.88253967598</v>
      </c>
      <c r="N17" s="46" t="n">
        <f aca="false">IF(10=0,N16,M17+N16)</f>
        <v>6664.43415179943</v>
      </c>
      <c r="O17" s="46" t="n">
        <f aca="false">IF(11=0,O16,N17+O16)</f>
        <v>6664.43415179943</v>
      </c>
      <c r="P17" s="46" t="n">
        <f aca="false">IF(12=0,P16,O17+P16)</f>
        <v>6664.43415179943</v>
      </c>
      <c r="Q17" s="46" t="n">
        <f aca="false">IF(13=0,Q16,P17+Q16)</f>
        <v>6664.43415179943</v>
      </c>
      <c r="R17" s="46" t="n">
        <f aca="false">IF(14=0,R16,Q17+R16)</f>
        <v>6664.43415179943</v>
      </c>
      <c r="S17" s="46" t="n">
        <f aca="false">IF(15=0,S16,R17+S16)</f>
        <v>6664.43415179943</v>
      </c>
      <c r="T17" s="46" t="n">
        <f aca="false">IF(16=0,T16,S17+T16)</f>
        <v>6664.43415179943</v>
      </c>
      <c r="U17" s="46" t="n">
        <f aca="false">IF(17=0,U16,T17+U16)</f>
        <v>6664.43415179943</v>
      </c>
      <c r="V17" s="20" t="n">
        <f aca="false">INDEX(D17:U17,0_参数!$C$9+0_参数!$C$10)</f>
        <v>6664.43415179943</v>
      </c>
    </row>
    <row r="18" customFormat="false" ht="15" hidden="false" customHeight="false" outlineLevel="0" collapsed="false">
      <c r="A18" s="13" t="s">
        <v>567</v>
      </c>
      <c r="B18" s="14" t="s">
        <v>729</v>
      </c>
      <c r="C18" s="14" t="s">
        <v>95</v>
      </c>
      <c r="D18" s="46" t="n">
        <f aca="false">D15-D16</f>
        <v>0</v>
      </c>
      <c r="E18" s="46" t="n">
        <f aca="false">E15-E16</f>
        <v>-3945.87572478183</v>
      </c>
      <c r="F18" s="46" t="n">
        <f aca="false">F15-F16</f>
        <v>-1073.55276757737</v>
      </c>
      <c r="G18" s="46" t="n">
        <f aca="false">G15-G16</f>
        <v>-764.411097329175</v>
      </c>
      <c r="H18" s="46" t="n">
        <f aca="false">H15-H16</f>
        <v>-1341.70225726966</v>
      </c>
      <c r="I18" s="46" t="n">
        <f aca="false">I15-I16</f>
        <v>-1029.84247381391</v>
      </c>
      <c r="J18" s="46" t="n">
        <f aca="false">J15-J16</f>
        <v>13523.0814527466</v>
      </c>
      <c r="K18" s="46" t="n">
        <f aca="false">K15-K16</f>
        <v>11298.4484476131</v>
      </c>
      <c r="L18" s="46" t="n">
        <f aca="false">L15-L16</f>
        <v>11508.9538014457</v>
      </c>
      <c r="M18" s="46" t="n">
        <f aca="false">M15-M16</f>
        <v>11719.4591552784</v>
      </c>
      <c r="N18" s="46" t="n">
        <f aca="false">N15-N16</f>
        <v>11929.964509111</v>
      </c>
      <c r="O18" s="46" t="n">
        <f aca="false">O15-O16</f>
        <v>0</v>
      </c>
      <c r="P18" s="46" t="n">
        <f aca="false">P15-P16</f>
        <v>0</v>
      </c>
      <c r="Q18" s="46" t="n">
        <f aca="false">Q15-Q16</f>
        <v>0</v>
      </c>
      <c r="R18" s="46" t="n">
        <f aca="false">R15-R16</f>
        <v>0</v>
      </c>
      <c r="S18" s="46" t="n">
        <f aca="false">S15-S16</f>
        <v>0</v>
      </c>
      <c r="T18" s="46" t="n">
        <f aca="false">T15-T16</f>
        <v>0</v>
      </c>
      <c r="U18" s="46" t="n">
        <f aca="false">U15-U16</f>
        <v>0</v>
      </c>
      <c r="V18" s="46" t="n">
        <f aca="false">SUM(D18:U18)</f>
        <v>51824.5230454229</v>
      </c>
    </row>
    <row r="19" customFormat="false" ht="15" hidden="false" customHeight="false" outlineLevel="0" collapsed="false">
      <c r="A19" s="14"/>
      <c r="B19" s="14" t="s">
        <v>730</v>
      </c>
      <c r="C19" s="14" t="s">
        <v>95</v>
      </c>
      <c r="D19" s="46" t="n">
        <f aca="false">D18</f>
        <v>0</v>
      </c>
      <c r="E19" s="46" t="n">
        <f aca="false">IF(1=0,E18,D19+E18)</f>
        <v>-3945.87572478183</v>
      </c>
      <c r="F19" s="46" t="n">
        <f aca="false">IF(2=0,F18,E19+F18)</f>
        <v>-5019.4284923592</v>
      </c>
      <c r="G19" s="46" t="n">
        <f aca="false">IF(3=0,G18,F19+G18)</f>
        <v>-5783.83958968838</v>
      </c>
      <c r="H19" s="46" t="n">
        <f aca="false">IF(4=0,H18,G19+H18)</f>
        <v>-7125.54184695804</v>
      </c>
      <c r="I19" s="46" t="n">
        <f aca="false">IF(5=0,I18,H19+I18)</f>
        <v>-8155.38432077195</v>
      </c>
      <c r="J19" s="46" t="n">
        <f aca="false">IF(6=0,J18,I19+J18)</f>
        <v>5367.69713197467</v>
      </c>
      <c r="K19" s="46" t="n">
        <f aca="false">IF(7=0,K18,J19+K18)</f>
        <v>16666.1455795878</v>
      </c>
      <c r="L19" s="46" t="n">
        <f aca="false">IF(8=0,L18,K19+L18)</f>
        <v>28175.0993810335</v>
      </c>
      <c r="M19" s="46" t="n">
        <f aca="false">IF(9=0,M18,L19+M18)</f>
        <v>39894.5585363119</v>
      </c>
      <c r="N19" s="46" t="n">
        <f aca="false">IF(10=0,N18,M19+N18)</f>
        <v>51824.5230454229</v>
      </c>
      <c r="O19" s="46" t="n">
        <f aca="false">IF(11=0,O18,N19+O18)</f>
        <v>51824.5230454229</v>
      </c>
      <c r="P19" s="46" t="n">
        <f aca="false">IF(12=0,P18,O19+P18)</f>
        <v>51824.5230454229</v>
      </c>
      <c r="Q19" s="46" t="n">
        <f aca="false">IF(13=0,Q18,P19+Q18)</f>
        <v>51824.5230454229</v>
      </c>
      <c r="R19" s="46" t="n">
        <f aca="false">IF(14=0,R18,Q19+R18)</f>
        <v>51824.5230454229</v>
      </c>
      <c r="S19" s="46" t="n">
        <f aca="false">IF(15=0,S18,R19+S18)</f>
        <v>51824.5230454229</v>
      </c>
      <c r="T19" s="46" t="n">
        <f aca="false">IF(16=0,T18,S19+T18)</f>
        <v>51824.5230454229</v>
      </c>
      <c r="U19" s="46" t="n">
        <f aca="false">IF(17=0,U18,T19+U18)</f>
        <v>51824.5230454229</v>
      </c>
      <c r="V19" s="20" t="n">
        <f aca="false">INDEX(D19:U19,0_参数!$C$9+0_参数!$C$10)</f>
        <v>51824.5230454229</v>
      </c>
    </row>
    <row r="20" customFormat="false" ht="15" hidden="false" customHeight="false" outlineLevel="0" collapsed="false">
      <c r="A20" s="14"/>
      <c r="B20" s="14" t="s">
        <v>731</v>
      </c>
      <c r="C20" s="14" t="s">
        <v>95</v>
      </c>
      <c r="D20" s="20" t="n">
        <f aca="false">D12+4_总成本费用!D$26</f>
        <v>0</v>
      </c>
      <c r="E20" s="20" t="n">
        <f aca="false">E12+4_总成本费用!E$26</f>
        <v>-806.062669941359</v>
      </c>
      <c r="F20" s="20" t="n">
        <f aca="false">F12+4_总成本费用!F$26</f>
        <v>1778.33383729792</v>
      </c>
      <c r="G20" s="20" t="n">
        <f aca="false">G12+4_总成本费用!G$26</f>
        <v>1778.33383729792</v>
      </c>
      <c r="H20" s="20" t="n">
        <f aca="false">H12+4_总成本费用!H$26</f>
        <v>889.182893901688</v>
      </c>
      <c r="I20" s="20" t="n">
        <f aca="false">I12+4_总成本费用!I$26</f>
        <v>889.182893901687</v>
      </c>
      <c r="J20" s="20" t="n">
        <f aca="false">J12+4_总成本费用!J$26</f>
        <v>18922.8988888124</v>
      </c>
      <c r="K20" s="20" t="n">
        <f aca="false">K12+4_总成本费用!K$26</f>
        <v>18033.7479454161</v>
      </c>
      <c r="L20" s="20" t="n">
        <f aca="false">L12+4_总成本费用!L$26</f>
        <v>18033.7479454161</v>
      </c>
      <c r="M20" s="20" t="n">
        <f aca="false">M12+4_总成本费用!M$26</f>
        <v>18033.7479454161</v>
      </c>
      <c r="N20" s="20" t="n">
        <f aca="false">N12+4_总成本费用!N$26</f>
        <v>18033.7479454161</v>
      </c>
      <c r="O20" s="20" t="n">
        <f aca="false">O12+4_总成本费用!O$26</f>
        <v>0</v>
      </c>
      <c r="P20" s="20" t="n">
        <f aca="false">P12+4_总成本费用!P$26</f>
        <v>0</v>
      </c>
      <c r="Q20" s="20" t="n">
        <f aca="false">Q12+4_总成本费用!Q$26</f>
        <v>0</v>
      </c>
      <c r="R20" s="20" t="n">
        <f aca="false">R12+4_总成本费用!R$26</f>
        <v>0</v>
      </c>
      <c r="S20" s="20" t="n">
        <f aca="false">S12+4_总成本费用!S$26</f>
        <v>0</v>
      </c>
      <c r="T20" s="20" t="n">
        <f aca="false">T12+4_总成本费用!T$26</f>
        <v>0</v>
      </c>
      <c r="U20" s="20" t="n">
        <f aca="false">U12+4_总成本费用!U$26</f>
        <v>0</v>
      </c>
      <c r="V20" s="20" t="n">
        <f aca="false">IFERROR(SUMIF(D$4:U$4,"运营",D20:U20)/0_参数!$C$10,0)</f>
        <v>9558.68614629347</v>
      </c>
    </row>
    <row r="21" customFormat="false" ht="15" hidden="false" customHeight="false" outlineLevel="0" collapsed="false">
      <c r="A21" s="14"/>
      <c r="B21" s="14" t="s">
        <v>732</v>
      </c>
      <c r="C21" s="14" t="s">
        <v>95</v>
      </c>
      <c r="D21" s="20" t="n">
        <f aca="false">IF(D$4="运营",MAX(0,D20)*0_参数!$C$85,0)</f>
        <v>0</v>
      </c>
      <c r="E21" s="20" t="n">
        <f aca="false">IF(E$4="运营",MAX(0,E20)*0_参数!$C$85,0)</f>
        <v>0</v>
      </c>
      <c r="F21" s="20" t="n">
        <f aca="false">IF(F$4="运营",MAX(0,F20)*0_参数!$C$85,0)</f>
        <v>444.583459324479</v>
      </c>
      <c r="G21" s="20" t="n">
        <f aca="false">IF(G$4="运营",MAX(0,G20)*0_参数!$C$85,0)</f>
        <v>444.583459324479</v>
      </c>
      <c r="H21" s="20" t="n">
        <f aca="false">IF(H$4="运营",MAX(0,H20)*0_参数!$C$85,0)</f>
        <v>222.295723475422</v>
      </c>
      <c r="I21" s="20" t="n">
        <f aca="false">IF(I$4="运营",MAX(0,I20)*0_参数!$C$85,0)</f>
        <v>222.295723475422</v>
      </c>
      <c r="J21" s="20" t="n">
        <f aca="false">IF(J$4="运营",MAX(0,J20)*0_参数!$C$85,0)</f>
        <v>4730.72472220309</v>
      </c>
      <c r="K21" s="20" t="n">
        <f aca="false">IF(K$4="运营",MAX(0,K20)*0_参数!$C$85,0)</f>
        <v>4508.43698635403</v>
      </c>
      <c r="L21" s="20" t="n">
        <f aca="false">IF(L$4="运营",MAX(0,L20)*0_参数!$C$85,0)</f>
        <v>4508.43698635403</v>
      </c>
      <c r="M21" s="20" t="n">
        <f aca="false">IF(M$4="运营",MAX(0,M20)*0_参数!$C$85,0)</f>
        <v>4508.43698635403</v>
      </c>
      <c r="N21" s="20" t="n">
        <f aca="false">IF(N$4="运营",MAX(0,N20)*0_参数!$C$85,0)</f>
        <v>4508.43698635403</v>
      </c>
      <c r="O21" s="20" t="n">
        <f aca="false">IF(O$4="运营",MAX(0,O20)*0_参数!$C$85,0)</f>
        <v>0</v>
      </c>
      <c r="P21" s="20" t="n">
        <f aca="false">IF(P$4="运营",MAX(0,P20)*0_参数!$C$85,0)</f>
        <v>0</v>
      </c>
      <c r="Q21" s="20" t="n">
        <f aca="false">IF(Q$4="运营",MAX(0,Q20)*0_参数!$C$85,0)</f>
        <v>0</v>
      </c>
      <c r="R21" s="20" t="n">
        <f aca="false">IF(R$4="运营",MAX(0,R20)*0_参数!$C$85,0)</f>
        <v>0</v>
      </c>
      <c r="S21" s="20" t="n">
        <f aca="false">IF(S$4="运营",MAX(0,S20)*0_参数!$C$85,0)</f>
        <v>0</v>
      </c>
      <c r="T21" s="20" t="n">
        <f aca="false">IF(T$4="运营",MAX(0,T20)*0_参数!$C$85,0)</f>
        <v>0</v>
      </c>
      <c r="U21" s="20" t="n">
        <f aca="false">IF(U$4="运营",MAX(0,U20)*0_参数!$C$85,0)</f>
        <v>0</v>
      </c>
      <c r="V21" s="20" t="n">
        <f aca="false">IFERROR(SUMIF(D$4:U$4,"运营",D21:U21)/0_参数!$C$10,0)</f>
        <v>2409.8231033219</v>
      </c>
    </row>
    <row r="22" customFormat="false" ht="15" hidden="false" customHeight="false" outlineLevel="0" collapsed="false">
      <c r="A22" s="14"/>
      <c r="B22" s="14" t="s">
        <v>698</v>
      </c>
      <c r="C22" s="14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14"/>
    </row>
    <row r="23" customFormat="false" ht="15" hidden="false" customHeight="false" outlineLevel="0" collapsed="false">
      <c r="A23" s="14"/>
      <c r="B23" s="14" t="s">
        <v>698</v>
      </c>
      <c r="C23" s="14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14"/>
    </row>
    <row r="24" customFormat="false" ht="15" hidden="false" customHeight="false" outlineLevel="0" collapsed="false">
      <c r="A24" s="14"/>
      <c r="B24" s="14" t="s">
        <v>698</v>
      </c>
      <c r="C24" s="14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14"/>
    </row>
    <row r="25" customFormat="false" ht="15" hidden="false" customHeight="false" outlineLevel="0" collapsed="false">
      <c r="A25" s="14"/>
      <c r="B25" s="14" t="s">
        <v>698</v>
      </c>
      <c r="C25" s="14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14"/>
    </row>
    <row r="26" customFormat="false" ht="15" hidden="false" customHeight="false" outlineLevel="0" collapsed="false">
      <c r="A26" s="14"/>
      <c r="B26" s="14" t="s">
        <v>698</v>
      </c>
      <c r="C26" s="14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14"/>
    </row>
    <row r="27" customFormat="false" ht="15" hidden="false" customHeight="false" outlineLevel="0" collapsed="false">
      <c r="A27" s="14"/>
      <c r="B27" s="14" t="s">
        <v>698</v>
      </c>
      <c r="C27" s="14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14"/>
    </row>
    <row r="28" customFormat="false" ht="15" hidden="false" customHeight="false" outlineLevel="0" collapsed="false">
      <c r="A28" s="14"/>
      <c r="B28" s="14" t="s">
        <v>698</v>
      </c>
      <c r="C28" s="14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14"/>
    </row>
    <row r="29" customFormat="false" ht="15" hidden="false" customHeight="false" outlineLevel="0" collapsed="false">
      <c r="A29" s="14"/>
      <c r="B29" s="14" t="s">
        <v>698</v>
      </c>
      <c r="C29" s="14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14"/>
    </row>
    <row r="30" customFormat="false" ht="15" hidden="false" customHeight="false" outlineLevel="0" collapsed="false">
      <c r="A30" s="14"/>
      <c r="B30" s="14" t="s">
        <v>733</v>
      </c>
      <c r="C30" s="14" t="s">
        <v>95</v>
      </c>
      <c r="D30" s="46" t="n">
        <f aca="false">MIN(0,D12)</f>
        <v>0</v>
      </c>
      <c r="E30" s="46" t="n">
        <f aca="false">IF(1=0,MIN(0,E12),MIN(0,D30+E12))</f>
        <v>-3945.87572478183</v>
      </c>
      <c r="F30" s="46" t="n">
        <f aca="false">IF(2=0,MIN(0,F12),MIN(0,E30+F12))</f>
        <v>-5019.4284923592</v>
      </c>
      <c r="G30" s="46" t="n">
        <f aca="false">IF(3=0,MIN(0,G12),MIN(0,F30+G12))</f>
        <v>-5783.83958968838</v>
      </c>
      <c r="H30" s="46" t="n">
        <f aca="false">IF(4=0,MIN(0,H12),MIN(0,G30+H12))</f>
        <v>-7125.54184695804</v>
      </c>
      <c r="I30" s="46" t="n">
        <f aca="false">IF(5=0,MIN(0,I12),MIN(0,H30+I12))</f>
        <v>-8155.38432077195</v>
      </c>
      <c r="J30" s="46" t="n">
        <f aca="false">IF(6=0,MIN(0,J12),MIN(0,I30+J12))</f>
        <v>0</v>
      </c>
      <c r="K30" s="46" t="n">
        <f aca="false">IF(7=0,MIN(0,K12),MIN(0,J30+K12))</f>
        <v>0</v>
      </c>
      <c r="L30" s="46" t="n">
        <f aca="false">IF(8=0,MIN(0,L12),MIN(0,K30+L12))</f>
        <v>0</v>
      </c>
      <c r="M30" s="46" t="n">
        <f aca="false">IF(9=0,MIN(0,M12),MIN(0,L30+M12))</f>
        <v>0</v>
      </c>
      <c r="N30" s="46" t="n">
        <f aca="false">IF(10=0,MIN(0,N12),MIN(0,M30+N12))</f>
        <v>0</v>
      </c>
      <c r="O30" s="46" t="n">
        <f aca="false">IF(11=0,MIN(0,O12),MIN(0,N30+O12))</f>
        <v>0</v>
      </c>
      <c r="P30" s="46" t="n">
        <f aca="false">IF(12=0,MIN(0,P12),MIN(0,O30+P12))</f>
        <v>0</v>
      </c>
      <c r="Q30" s="46" t="n">
        <f aca="false">IF(13=0,MIN(0,Q12),MIN(0,P30+Q12))</f>
        <v>0</v>
      </c>
      <c r="R30" s="46" t="n">
        <f aca="false">IF(14=0,MIN(0,R12),MIN(0,Q30+R12))</f>
        <v>0</v>
      </c>
      <c r="S30" s="46" t="n">
        <f aca="false">IF(15=0,MIN(0,S12),MIN(0,R30+S12))</f>
        <v>0</v>
      </c>
      <c r="T30" s="46" t="n">
        <f aca="false">IF(16=0,MIN(0,T12),MIN(0,S30+T12))</f>
        <v>0</v>
      </c>
      <c r="U30" s="46" t="n">
        <f aca="false">IF(17=0,MIN(0,U12),MIN(0,T30+U12))</f>
        <v>0</v>
      </c>
      <c r="V30" s="1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21" min="4" style="0" width="11"/>
    <col collapsed="false" customWidth="true" hidden="false" outlineLevel="0" max="22" min="22" style="0" width="13"/>
  </cols>
  <sheetData>
    <row r="1" customFormat="false" ht="21.6" hidden="false" customHeight="false" outlineLevel="0" collapsed="false">
      <c r="A1" s="6" t="s">
        <v>734</v>
      </c>
    </row>
    <row r="2" customFormat="false" ht="15" hidden="false" customHeight="false" outlineLevel="0" collapsed="false">
      <c r="A2" s="7" t="s">
        <v>735</v>
      </c>
    </row>
    <row r="3" customFormat="false" ht="15" hidden="false" customHeight="false" outlineLevel="0" collapsed="false">
      <c r="A3" s="27" t="s">
        <v>25</v>
      </c>
      <c r="B3" s="27" t="s">
        <v>611</v>
      </c>
      <c r="C3" s="27" t="s">
        <v>612</v>
      </c>
      <c r="D3" s="61" t="n">
        <v>1</v>
      </c>
      <c r="E3" s="61" t="n">
        <f aca="false">D3+1</f>
        <v>2</v>
      </c>
      <c r="F3" s="61" t="n">
        <f aca="false">E3+1</f>
        <v>3</v>
      </c>
      <c r="G3" s="61" t="n">
        <f aca="false">F3+1</f>
        <v>4</v>
      </c>
      <c r="H3" s="61" t="n">
        <f aca="false">G3+1</f>
        <v>5</v>
      </c>
      <c r="I3" s="61" t="n">
        <f aca="false">H3+1</f>
        <v>6</v>
      </c>
      <c r="J3" s="61" t="n">
        <f aca="false">I3+1</f>
        <v>7</v>
      </c>
      <c r="K3" s="61" t="n">
        <f aca="false">J3+1</f>
        <v>8</v>
      </c>
      <c r="L3" s="61" t="n">
        <f aca="false">K3+1</f>
        <v>9</v>
      </c>
      <c r="M3" s="61" t="n">
        <f aca="false">L3+1</f>
        <v>10</v>
      </c>
      <c r="N3" s="61" t="n">
        <f aca="false">M3+1</f>
        <v>11</v>
      </c>
      <c r="O3" s="61" t="n">
        <f aca="false">N3+1</f>
        <v>12</v>
      </c>
      <c r="P3" s="61" t="n">
        <f aca="false">O3+1</f>
        <v>13</v>
      </c>
      <c r="Q3" s="61" t="n">
        <f aca="false">P3+1</f>
        <v>14</v>
      </c>
      <c r="R3" s="61" t="n">
        <f aca="false">Q3+1</f>
        <v>15</v>
      </c>
      <c r="S3" s="61" t="n">
        <f aca="false">R3+1</f>
        <v>16</v>
      </c>
      <c r="T3" s="61" t="n">
        <f aca="false">S3+1</f>
        <v>17</v>
      </c>
      <c r="U3" s="61" t="n">
        <f aca="false">T3+1</f>
        <v>18</v>
      </c>
      <c r="V3" s="8" t="s">
        <v>613</v>
      </c>
    </row>
    <row r="4" customFormat="false" ht="15" hidden="false" customHeight="false" outlineLevel="0" collapsed="false">
      <c r="A4" s="62"/>
      <c r="B4" s="27" t="s">
        <v>614</v>
      </c>
      <c r="C4" s="62"/>
      <c r="D4" s="63" t="str">
        <f aca="false">IF(D$3&lt;=0_参数!$C$9,"建设",IF(D$3&lt;=0_参数!$C$9+0_参数!$C$10,"运营",""))</f>
        <v>建设</v>
      </c>
      <c r="E4" s="63" t="str">
        <f aca="false">IF(E$3&lt;=0_参数!$C$9,"建设",IF(E$3&lt;=0_参数!$C$9+0_参数!$C$10,"运营",""))</f>
        <v>运营</v>
      </c>
      <c r="F4" s="63" t="str">
        <f aca="false">IF(F$3&lt;=0_参数!$C$9,"建设",IF(F$3&lt;=0_参数!$C$9+0_参数!$C$10,"运营",""))</f>
        <v>运营</v>
      </c>
      <c r="G4" s="63" t="str">
        <f aca="false">IF(G$3&lt;=0_参数!$C$9,"建设",IF(G$3&lt;=0_参数!$C$9+0_参数!$C$10,"运营",""))</f>
        <v>运营</v>
      </c>
      <c r="H4" s="63" t="str">
        <f aca="false">IF(H$3&lt;=0_参数!$C$9,"建设",IF(H$3&lt;=0_参数!$C$9+0_参数!$C$10,"运营",""))</f>
        <v>运营</v>
      </c>
      <c r="I4" s="63" t="str">
        <f aca="false">IF(I$3&lt;=0_参数!$C$9,"建设",IF(I$3&lt;=0_参数!$C$9+0_参数!$C$10,"运营",""))</f>
        <v>运营</v>
      </c>
      <c r="J4" s="63" t="str">
        <f aca="false">IF(J$3&lt;=0_参数!$C$9,"建设",IF(J$3&lt;=0_参数!$C$9+0_参数!$C$10,"运营",""))</f>
        <v>运营</v>
      </c>
      <c r="K4" s="63" t="str">
        <f aca="false">IF(K$3&lt;=0_参数!$C$9,"建设",IF(K$3&lt;=0_参数!$C$9+0_参数!$C$10,"运营",""))</f>
        <v>运营</v>
      </c>
      <c r="L4" s="63" t="str">
        <f aca="false">IF(L$3&lt;=0_参数!$C$9,"建设",IF(L$3&lt;=0_参数!$C$9+0_参数!$C$10,"运营",""))</f>
        <v>运营</v>
      </c>
      <c r="M4" s="63" t="str">
        <f aca="false">IF(M$3&lt;=0_参数!$C$9,"建设",IF(M$3&lt;=0_参数!$C$9+0_参数!$C$10,"运营",""))</f>
        <v>运营</v>
      </c>
      <c r="N4" s="63" t="str">
        <f aca="false">IF(N$3&lt;=0_参数!$C$9,"建设",IF(N$3&lt;=0_参数!$C$9+0_参数!$C$10,"运营",""))</f>
        <v>运营</v>
      </c>
      <c r="O4" s="63" t="str">
        <f aca="false">IF(O$3&lt;=0_参数!$C$9,"建设",IF(O$3&lt;=0_参数!$C$9+0_参数!$C$10,"运营",""))</f>
        <v/>
      </c>
      <c r="P4" s="63" t="str">
        <f aca="false">IF(P$3&lt;=0_参数!$C$9,"建设",IF(P$3&lt;=0_参数!$C$9+0_参数!$C$10,"运营",""))</f>
        <v/>
      </c>
      <c r="Q4" s="63" t="str">
        <f aca="false">IF(Q$3&lt;=0_参数!$C$9,"建设",IF(Q$3&lt;=0_参数!$C$9+0_参数!$C$10,"运营",""))</f>
        <v/>
      </c>
      <c r="R4" s="63" t="str">
        <f aca="false">IF(R$3&lt;=0_参数!$C$9,"建设",IF(R$3&lt;=0_参数!$C$9+0_参数!$C$10,"运营",""))</f>
        <v/>
      </c>
      <c r="S4" s="63" t="str">
        <f aca="false">IF(S$3&lt;=0_参数!$C$9,"建设",IF(S$3&lt;=0_参数!$C$9+0_参数!$C$10,"运营",""))</f>
        <v/>
      </c>
      <c r="T4" s="63" t="str">
        <f aca="false">IF(T$3&lt;=0_参数!$C$9,"建设",IF(T$3&lt;=0_参数!$C$9+0_参数!$C$10,"运营",""))</f>
        <v/>
      </c>
      <c r="U4" s="63" t="str">
        <f aca="false">IF(U$3&lt;=0_参数!$C$9,"建设",IF(U$3&lt;=0_参数!$C$9+0_参数!$C$10,"运营",""))</f>
        <v/>
      </c>
      <c r="V4" s="62"/>
    </row>
    <row r="5" customFormat="false" ht="15" hidden="false" customHeight="false" outlineLevel="0" collapsed="false">
      <c r="A5" s="62"/>
      <c r="B5" s="27" t="s">
        <v>615</v>
      </c>
      <c r="C5" s="62"/>
      <c r="D5" s="64" t="n">
        <f aca="false">IF(D$4="运营",D$3-0_参数!$C$9,0)</f>
        <v>0</v>
      </c>
      <c r="E5" s="64" t="n">
        <f aca="false">IF(E$4="运营",E$3-0_参数!$C$9,0)</f>
        <v>1</v>
      </c>
      <c r="F5" s="64" t="n">
        <f aca="false">IF(F$4="运营",F$3-0_参数!$C$9,0)</f>
        <v>2</v>
      </c>
      <c r="G5" s="64" t="n">
        <f aca="false">IF(G$4="运营",G$3-0_参数!$C$9,0)</f>
        <v>3</v>
      </c>
      <c r="H5" s="64" t="n">
        <f aca="false">IF(H$4="运营",H$3-0_参数!$C$9,0)</f>
        <v>4</v>
      </c>
      <c r="I5" s="64" t="n">
        <f aca="false">IF(I$4="运营",I$3-0_参数!$C$9,0)</f>
        <v>5</v>
      </c>
      <c r="J5" s="64" t="n">
        <f aca="false">IF(J$4="运营",J$3-0_参数!$C$9,0)</f>
        <v>6</v>
      </c>
      <c r="K5" s="64" t="n">
        <f aca="false">IF(K$4="运营",K$3-0_参数!$C$9,0)</f>
        <v>7</v>
      </c>
      <c r="L5" s="64" t="n">
        <f aca="false">IF(L$4="运营",L$3-0_参数!$C$9,0)</f>
        <v>8</v>
      </c>
      <c r="M5" s="64" t="n">
        <f aca="false">IF(M$4="运营",M$3-0_参数!$C$9,0)</f>
        <v>9</v>
      </c>
      <c r="N5" s="64" t="n">
        <f aca="false">IF(N$4="运营",N$3-0_参数!$C$9,0)</f>
        <v>10</v>
      </c>
      <c r="O5" s="64" t="n">
        <f aca="false">IF(O$4="运营",O$3-0_参数!$C$9,0)</f>
        <v>0</v>
      </c>
      <c r="P5" s="64" t="n">
        <f aca="false">IF(P$4="运营",P$3-0_参数!$C$9,0)</f>
        <v>0</v>
      </c>
      <c r="Q5" s="64" t="n">
        <f aca="false">IF(Q$4="运营",Q$3-0_参数!$C$9,0)</f>
        <v>0</v>
      </c>
      <c r="R5" s="64" t="n">
        <f aca="false">IF(R$4="运营",R$3-0_参数!$C$9,0)</f>
        <v>0</v>
      </c>
      <c r="S5" s="64" t="n">
        <f aca="false">IF(S$4="运营",S$3-0_参数!$C$9,0)</f>
        <v>0</v>
      </c>
      <c r="T5" s="64" t="n">
        <f aca="false">IF(T$4="运营",T$3-0_参数!$C$9,0)</f>
        <v>0</v>
      </c>
      <c r="U5" s="64" t="n">
        <f aca="false">IF(U$4="运营",U$3-0_参数!$C$9,0)</f>
        <v>0</v>
      </c>
      <c r="V5" s="62"/>
    </row>
    <row r="6" customFormat="false" ht="15" hidden="false" customHeight="false" outlineLevel="0" collapsed="false">
      <c r="A6" s="62"/>
      <c r="B6" s="27" t="s">
        <v>616</v>
      </c>
      <c r="C6" s="62"/>
      <c r="D6" s="65" t="n">
        <f aca="false">IF(D$4="建设",D$3,0)</f>
        <v>1</v>
      </c>
      <c r="E6" s="65" t="n">
        <f aca="false">IF(E$4="建设",E$3,0)</f>
        <v>0</v>
      </c>
      <c r="F6" s="65" t="n">
        <f aca="false">IF(F$4="建设",F$3,0)</f>
        <v>0</v>
      </c>
      <c r="G6" s="65" t="n">
        <f aca="false">IF(G$4="建设",G$3,0)</f>
        <v>0</v>
      </c>
      <c r="H6" s="65" t="n">
        <f aca="false">IF(H$4="建设",H$3,0)</f>
        <v>0</v>
      </c>
      <c r="I6" s="65" t="n">
        <f aca="false">IF(I$4="建设",I$3,0)</f>
        <v>0</v>
      </c>
      <c r="J6" s="65" t="n">
        <f aca="false">IF(J$4="建设",J$3,0)</f>
        <v>0</v>
      </c>
      <c r="K6" s="65" t="n">
        <f aca="false">IF(K$4="建设",K$3,0)</f>
        <v>0</v>
      </c>
      <c r="L6" s="65" t="n">
        <f aca="false">IF(L$4="建设",L$3,0)</f>
        <v>0</v>
      </c>
      <c r="M6" s="65" t="n">
        <f aca="false">IF(M$4="建设",M$3,0)</f>
        <v>0</v>
      </c>
      <c r="N6" s="65" t="n">
        <f aca="false">IF(N$4="建设",N$3,0)</f>
        <v>0</v>
      </c>
      <c r="O6" s="65" t="n">
        <f aca="false">IF(O$4="建设",O$3,0)</f>
        <v>0</v>
      </c>
      <c r="P6" s="65" t="n">
        <f aca="false">IF(P$4="建设",P$3,0)</f>
        <v>0</v>
      </c>
      <c r="Q6" s="65" t="n">
        <f aca="false">IF(Q$4="建设",Q$3,0)</f>
        <v>0</v>
      </c>
      <c r="R6" s="65" t="n">
        <f aca="false">IF(R$4="建设",R$3,0)</f>
        <v>0</v>
      </c>
      <c r="S6" s="65" t="n">
        <f aca="false">IF(S$4="建设",S$3,0)</f>
        <v>0</v>
      </c>
      <c r="T6" s="65" t="n">
        <f aca="false">IF(T$4="建设",T$3,0)</f>
        <v>0</v>
      </c>
      <c r="U6" s="65" t="n">
        <f aca="false">IF(U$4="建设",U$3,0)</f>
        <v>0</v>
      </c>
      <c r="V6" s="62"/>
    </row>
    <row r="7" customFormat="false" ht="15" hidden="false" customHeight="false" outlineLevel="0" collapsed="false">
      <c r="A7" s="13" t="s">
        <v>32</v>
      </c>
      <c r="B7" s="14" t="s">
        <v>710</v>
      </c>
      <c r="C7" s="14" t="s">
        <v>95</v>
      </c>
      <c r="D7" s="20" t="n">
        <f aca="false">6_收入税金!D$11</f>
        <v>0</v>
      </c>
      <c r="E7" s="20" t="n">
        <f aca="false">6_收入税金!E$11</f>
        <v>21301.1320754717</v>
      </c>
      <c r="F7" s="20" t="n">
        <f aca="false">6_收入税金!F$11</f>
        <v>23963.7735849057</v>
      </c>
      <c r="G7" s="20" t="n">
        <f aca="false">6_收入税金!G$11</f>
        <v>23963.7735849057</v>
      </c>
      <c r="H7" s="20" t="n">
        <f aca="false">6_收入税金!H$11</f>
        <v>23963.7735849057</v>
      </c>
      <c r="I7" s="20" t="n">
        <f aca="false">6_收入税金!I$11</f>
        <v>23963.7735849057</v>
      </c>
      <c r="J7" s="20" t="n">
        <f aca="false">6_收入税金!J$11</f>
        <v>23963.7735849057</v>
      </c>
      <c r="K7" s="20" t="n">
        <f aca="false">6_收入税金!K$11</f>
        <v>23963.7735849057</v>
      </c>
      <c r="L7" s="20" t="n">
        <f aca="false">6_收入税金!L$11</f>
        <v>23963.7735849057</v>
      </c>
      <c r="M7" s="20" t="n">
        <f aca="false">6_收入税金!M$11</f>
        <v>23963.7735849057</v>
      </c>
      <c r="N7" s="20" t="n">
        <f aca="false">6_收入税金!N$11</f>
        <v>23963.7735849057</v>
      </c>
      <c r="O7" s="20" t="n">
        <f aca="false">6_收入税金!O$11</f>
        <v>0</v>
      </c>
      <c r="P7" s="20" t="n">
        <f aca="false">6_收入税金!P$11</f>
        <v>0</v>
      </c>
      <c r="Q7" s="20" t="n">
        <f aca="false">6_收入税金!Q$11</f>
        <v>0</v>
      </c>
      <c r="R7" s="20" t="n">
        <f aca="false">6_收入税金!R$11</f>
        <v>0</v>
      </c>
      <c r="S7" s="20" t="n">
        <f aca="false">6_收入税金!S$11</f>
        <v>0</v>
      </c>
      <c r="T7" s="20" t="n">
        <f aca="false">6_收入税金!T$11</f>
        <v>0</v>
      </c>
      <c r="U7" s="20" t="n">
        <f aca="false">6_收入税金!U$11</f>
        <v>0</v>
      </c>
      <c r="V7" s="46" t="n">
        <f aca="false">SUM(D7:U7)</f>
        <v>236975.094339623</v>
      </c>
    </row>
    <row r="8" customFormat="false" ht="15" hidden="false" customHeight="false" outlineLevel="0" collapsed="false">
      <c r="A8" s="13" t="s">
        <v>36</v>
      </c>
      <c r="B8" s="14" t="s">
        <v>721</v>
      </c>
      <c r="C8" s="14" t="s">
        <v>95</v>
      </c>
      <c r="D8" s="20" t="n">
        <f aca="false">7_利润!D$10</f>
        <v>0</v>
      </c>
      <c r="E8" s="20" t="n">
        <f aca="false">7_利润!E$10</f>
        <v>0</v>
      </c>
      <c r="F8" s="20" t="n">
        <f aca="false">7_利润!F$10</f>
        <v>0</v>
      </c>
      <c r="G8" s="20" t="n">
        <f aca="false">7_利润!G$10</f>
        <v>0</v>
      </c>
      <c r="H8" s="20" t="n">
        <f aca="false">7_利润!H$10</f>
        <v>0</v>
      </c>
      <c r="I8" s="20" t="n">
        <f aca="false">7_利润!I$10</f>
        <v>0</v>
      </c>
      <c r="J8" s="20" t="n">
        <f aca="false">7_利润!J$10</f>
        <v>0</v>
      </c>
      <c r="K8" s="20" t="n">
        <f aca="false">7_利润!K$10</f>
        <v>0</v>
      </c>
      <c r="L8" s="20" t="n">
        <f aca="false">7_利润!L$10</f>
        <v>0</v>
      </c>
      <c r="M8" s="20" t="n">
        <f aca="false">7_利润!M$10</f>
        <v>0</v>
      </c>
      <c r="N8" s="20" t="n">
        <f aca="false">7_利润!N$10</f>
        <v>0</v>
      </c>
      <c r="O8" s="20" t="n">
        <f aca="false">7_利润!O$10</f>
        <v>0</v>
      </c>
      <c r="P8" s="20" t="n">
        <f aca="false">7_利润!P$10</f>
        <v>0</v>
      </c>
      <c r="Q8" s="20" t="n">
        <f aca="false">7_利润!Q$10</f>
        <v>0</v>
      </c>
      <c r="R8" s="20" t="n">
        <f aca="false">7_利润!R$10</f>
        <v>0</v>
      </c>
      <c r="S8" s="20" t="n">
        <f aca="false">7_利润!S$10</f>
        <v>0</v>
      </c>
      <c r="T8" s="20" t="n">
        <f aca="false">7_利润!T$10</f>
        <v>0</v>
      </c>
      <c r="U8" s="20" t="n">
        <f aca="false">7_利润!U$10</f>
        <v>0</v>
      </c>
      <c r="V8" s="46" t="n">
        <f aca="false">SUM(D8:U8)</f>
        <v>0</v>
      </c>
    </row>
    <row r="9" customFormat="false" ht="15" hidden="false" customHeight="false" outlineLevel="0" collapsed="false">
      <c r="A9" s="13" t="s">
        <v>40</v>
      </c>
      <c r="B9" s="14" t="s">
        <v>736</v>
      </c>
      <c r="C9" s="14" t="s">
        <v>95</v>
      </c>
      <c r="D9" s="20" t="n">
        <f aca="false">5_折旧摊销!D$29</f>
        <v>0</v>
      </c>
      <c r="E9" s="20" t="n">
        <f aca="false">5_折旧摊销!E$29</f>
        <v>0</v>
      </c>
      <c r="F9" s="20" t="n">
        <f aca="false">5_折旧摊销!F$29</f>
        <v>0</v>
      </c>
      <c r="G9" s="20" t="n">
        <f aca="false">5_折旧摊销!G$29</f>
        <v>0</v>
      </c>
      <c r="H9" s="20" t="n">
        <f aca="false">5_折旧摊销!H$29</f>
        <v>0</v>
      </c>
      <c r="I9" s="20" t="n">
        <f aca="false">5_折旧摊销!I$29</f>
        <v>0</v>
      </c>
      <c r="J9" s="20" t="n">
        <f aca="false">5_折旧摊销!J$29</f>
        <v>0</v>
      </c>
      <c r="K9" s="20" t="n">
        <f aca="false">5_折旧摊销!K$29</f>
        <v>0</v>
      </c>
      <c r="L9" s="20" t="n">
        <f aca="false">5_折旧摊销!L$29</f>
        <v>0</v>
      </c>
      <c r="M9" s="20" t="n">
        <f aca="false">5_折旧摊销!M$29</f>
        <v>0</v>
      </c>
      <c r="N9" s="20" t="n">
        <f aca="false">5_折旧摊销!N$29</f>
        <v>11230.2996371198</v>
      </c>
      <c r="O9" s="20" t="n">
        <f aca="false">5_折旧摊销!O$29</f>
        <v>0</v>
      </c>
      <c r="P9" s="20" t="n">
        <f aca="false">5_折旧摊销!P$29</f>
        <v>0</v>
      </c>
      <c r="Q9" s="20" t="n">
        <f aca="false">5_折旧摊销!Q$29</f>
        <v>0</v>
      </c>
      <c r="R9" s="20" t="n">
        <f aca="false">5_折旧摊销!R$29</f>
        <v>0</v>
      </c>
      <c r="S9" s="20" t="n">
        <f aca="false">5_折旧摊销!S$29</f>
        <v>0</v>
      </c>
      <c r="T9" s="20" t="n">
        <f aca="false">5_折旧摊销!T$29</f>
        <v>0</v>
      </c>
      <c r="U9" s="20" t="n">
        <f aca="false">5_折旧摊销!U$29</f>
        <v>0</v>
      </c>
      <c r="V9" s="46" t="n">
        <f aca="false">SUM(D9:U9)</f>
        <v>11230.2996371198</v>
      </c>
    </row>
    <row r="10" customFormat="false" ht="15" hidden="false" customHeight="false" outlineLevel="0" collapsed="false">
      <c r="A10" s="13" t="s">
        <v>44</v>
      </c>
      <c r="B10" s="14" t="s">
        <v>737</v>
      </c>
      <c r="C10" s="14" t="s">
        <v>95</v>
      </c>
      <c r="D10" s="20" t="n">
        <f aca="false">2_流动资金!D$19</f>
        <v>0</v>
      </c>
      <c r="E10" s="20" t="n">
        <f aca="false">2_流动资金!E$19</f>
        <v>0</v>
      </c>
      <c r="F10" s="20" t="n">
        <f aca="false">2_流动资金!F$19</f>
        <v>0</v>
      </c>
      <c r="G10" s="20" t="n">
        <f aca="false">2_流动资金!G$19</f>
        <v>0</v>
      </c>
      <c r="H10" s="20" t="n">
        <f aca="false">2_流动资金!H$19</f>
        <v>0</v>
      </c>
      <c r="I10" s="20" t="n">
        <f aca="false">2_流动资金!I$19</f>
        <v>0</v>
      </c>
      <c r="J10" s="20" t="n">
        <f aca="false">2_流动资金!J$19</f>
        <v>0</v>
      </c>
      <c r="K10" s="20" t="n">
        <f aca="false">2_流动资金!K$19</f>
        <v>0</v>
      </c>
      <c r="L10" s="20" t="n">
        <f aca="false">2_流动资金!L$19</f>
        <v>0</v>
      </c>
      <c r="M10" s="20" t="n">
        <f aca="false">2_流动资金!M$19</f>
        <v>0</v>
      </c>
      <c r="N10" s="20" t="n">
        <f aca="false">2_流动资金!N$19</f>
        <v>1953.74150943396</v>
      </c>
      <c r="O10" s="20" t="n">
        <f aca="false">2_流动资金!O$19</f>
        <v>0</v>
      </c>
      <c r="P10" s="20" t="n">
        <f aca="false">2_流动资金!P$19</f>
        <v>0</v>
      </c>
      <c r="Q10" s="20" t="n">
        <f aca="false">2_流动资金!Q$19</f>
        <v>0</v>
      </c>
      <c r="R10" s="20" t="n">
        <f aca="false">2_流动资金!R$19</f>
        <v>0</v>
      </c>
      <c r="S10" s="20" t="n">
        <f aca="false">2_流动资金!S$19</f>
        <v>0</v>
      </c>
      <c r="T10" s="20" t="n">
        <f aca="false">2_流动资金!T$19</f>
        <v>0</v>
      </c>
      <c r="U10" s="20" t="n">
        <f aca="false">2_流动资金!U$19</f>
        <v>0</v>
      </c>
      <c r="V10" s="46" t="n">
        <f aca="false">SUM(D10:U10)</f>
        <v>1953.74150943396</v>
      </c>
    </row>
    <row r="11" customFormat="false" ht="15" hidden="false" customHeight="false" outlineLevel="0" collapsed="false">
      <c r="A11" s="13" t="s">
        <v>30</v>
      </c>
      <c r="B11" s="54" t="s">
        <v>738</v>
      </c>
      <c r="C11" s="14" t="s">
        <v>95</v>
      </c>
      <c r="D11" s="55" t="n">
        <f aca="false">D7+D8+D9+D10</f>
        <v>0</v>
      </c>
      <c r="E11" s="55" t="n">
        <f aca="false">E7+E8+E9+E10</f>
        <v>21301.1320754717</v>
      </c>
      <c r="F11" s="55" t="n">
        <f aca="false">F7+F8+F9+F10</f>
        <v>23963.7735849057</v>
      </c>
      <c r="G11" s="55" t="n">
        <f aca="false">G7+G8+G9+G10</f>
        <v>23963.7735849057</v>
      </c>
      <c r="H11" s="55" t="n">
        <f aca="false">H7+H8+H9+H10</f>
        <v>23963.7735849057</v>
      </c>
      <c r="I11" s="55" t="n">
        <f aca="false">I7+I8+I9+I10</f>
        <v>23963.7735849057</v>
      </c>
      <c r="J11" s="55" t="n">
        <f aca="false">J7+J8+J9+J10</f>
        <v>23963.7735849057</v>
      </c>
      <c r="K11" s="55" t="n">
        <f aca="false">K7+K8+K9+K10</f>
        <v>23963.7735849057</v>
      </c>
      <c r="L11" s="55" t="n">
        <f aca="false">L7+L8+L9+L10</f>
        <v>23963.7735849057</v>
      </c>
      <c r="M11" s="55" t="n">
        <f aca="false">M7+M8+M9+M10</f>
        <v>23963.7735849057</v>
      </c>
      <c r="N11" s="55" t="n">
        <f aca="false">N7+N8+N9+N10</f>
        <v>37147.8147314594</v>
      </c>
      <c r="O11" s="55" t="n">
        <f aca="false">O7+O8+O9+O10</f>
        <v>0</v>
      </c>
      <c r="P11" s="55" t="n">
        <f aca="false">P7+P8+P9+P10</f>
        <v>0</v>
      </c>
      <c r="Q11" s="55" t="n">
        <f aca="false">Q7+Q8+Q9+Q10</f>
        <v>0</v>
      </c>
      <c r="R11" s="55" t="n">
        <f aca="false">R7+R8+R9+R10</f>
        <v>0</v>
      </c>
      <c r="S11" s="55" t="n">
        <f aca="false">S7+S8+S9+S10</f>
        <v>0</v>
      </c>
      <c r="T11" s="55" t="n">
        <f aca="false">T7+T8+T9+T10</f>
        <v>0</v>
      </c>
      <c r="U11" s="55" t="n">
        <f aca="false">U7+U8+U9+U10</f>
        <v>0</v>
      </c>
      <c r="V11" s="55" t="n">
        <f aca="false">SUM(D11:U11)</f>
        <v>250159.135486176</v>
      </c>
    </row>
    <row r="12" customFormat="false" ht="15" hidden="false" customHeight="false" outlineLevel="0" collapsed="false">
      <c r="A12" s="13" t="s">
        <v>58</v>
      </c>
      <c r="B12" s="14" t="s">
        <v>739</v>
      </c>
      <c r="C12" s="14" t="s">
        <v>95</v>
      </c>
      <c r="D12" s="20" t="n">
        <f aca="false">3_资金筹措!D$8</f>
        <v>122417.006061</v>
      </c>
      <c r="E12" s="20" t="n">
        <f aca="false">3_资金筹措!E$8</f>
        <v>0</v>
      </c>
      <c r="F12" s="20" t="n">
        <f aca="false">3_资金筹措!F$8</f>
        <v>0</v>
      </c>
      <c r="G12" s="20" t="n">
        <f aca="false">3_资金筹措!G$8</f>
        <v>0</v>
      </c>
      <c r="H12" s="20" t="n">
        <f aca="false">3_资金筹措!H$8</f>
        <v>0</v>
      </c>
      <c r="I12" s="20" t="n">
        <f aca="false">3_资金筹措!I$8</f>
        <v>0</v>
      </c>
      <c r="J12" s="20" t="n">
        <f aca="false">3_资金筹措!J$8</f>
        <v>0</v>
      </c>
      <c r="K12" s="20" t="n">
        <f aca="false">3_资金筹措!K$8</f>
        <v>0</v>
      </c>
      <c r="L12" s="20" t="n">
        <f aca="false">3_资金筹措!L$8</f>
        <v>0</v>
      </c>
      <c r="M12" s="20" t="n">
        <f aca="false">3_资金筹措!M$8</f>
        <v>0</v>
      </c>
      <c r="N12" s="20" t="n">
        <f aca="false">3_资金筹措!N$8</f>
        <v>0</v>
      </c>
      <c r="O12" s="20" t="n">
        <f aca="false">3_资金筹措!O$8</f>
        <v>0</v>
      </c>
      <c r="P12" s="20" t="n">
        <f aca="false">3_资金筹措!P$8</f>
        <v>0</v>
      </c>
      <c r="Q12" s="20" t="n">
        <f aca="false">3_资金筹措!Q$8</f>
        <v>0</v>
      </c>
      <c r="R12" s="20" t="n">
        <f aca="false">3_资金筹措!R$8</f>
        <v>0</v>
      </c>
      <c r="S12" s="20" t="n">
        <f aca="false">3_资金筹措!S$8</f>
        <v>0</v>
      </c>
      <c r="T12" s="20" t="n">
        <f aca="false">3_资金筹措!T$8</f>
        <v>0</v>
      </c>
      <c r="U12" s="20" t="n">
        <f aca="false">3_资金筹措!U$8</f>
        <v>0</v>
      </c>
      <c r="V12" s="46" t="n">
        <f aca="false">SUM(D12:U12)</f>
        <v>122417.006061</v>
      </c>
    </row>
    <row r="13" customFormat="false" ht="15" hidden="false" customHeight="false" outlineLevel="0" collapsed="false">
      <c r="A13" s="13" t="s">
        <v>61</v>
      </c>
      <c r="B13" s="14" t="s">
        <v>740</v>
      </c>
      <c r="C13" s="14" t="s">
        <v>95</v>
      </c>
      <c r="D13" s="20" t="n">
        <f aca="false">2_流动资金!D$14</f>
        <v>0</v>
      </c>
      <c r="E13" s="20" t="n">
        <f aca="false">2_流动资金!E$14</f>
        <v>1731.85471698113</v>
      </c>
      <c r="F13" s="20" t="n">
        <f aca="false">2_流动资金!F$14</f>
        <v>221.88679245283</v>
      </c>
      <c r="G13" s="20" t="n">
        <f aca="false">2_流动资金!G$14</f>
        <v>0</v>
      </c>
      <c r="H13" s="20" t="n">
        <f aca="false">2_流动资金!H$14</f>
        <v>0</v>
      </c>
      <c r="I13" s="20" t="n">
        <f aca="false">2_流动资金!I$14</f>
        <v>0</v>
      </c>
      <c r="J13" s="20" t="n">
        <f aca="false">2_流动资金!J$14</f>
        <v>0</v>
      </c>
      <c r="K13" s="20" t="n">
        <f aca="false">2_流动资金!K$14</f>
        <v>0</v>
      </c>
      <c r="L13" s="20" t="n">
        <f aca="false">2_流动资金!L$14</f>
        <v>0</v>
      </c>
      <c r="M13" s="20" t="n">
        <f aca="false">2_流动资金!M$14</f>
        <v>0</v>
      </c>
      <c r="N13" s="20" t="n">
        <f aca="false">2_流动资金!N$14</f>
        <v>0</v>
      </c>
      <c r="O13" s="20" t="n">
        <f aca="false">2_流动资金!O$14</f>
        <v>0</v>
      </c>
      <c r="P13" s="20" t="n">
        <f aca="false">2_流动资金!P$14</f>
        <v>0</v>
      </c>
      <c r="Q13" s="20" t="n">
        <f aca="false">2_流动资金!Q$14</f>
        <v>0</v>
      </c>
      <c r="R13" s="20" t="n">
        <f aca="false">2_流动资金!R$14</f>
        <v>0</v>
      </c>
      <c r="S13" s="20" t="n">
        <f aca="false">2_流动资金!S$14</f>
        <v>0</v>
      </c>
      <c r="T13" s="20" t="n">
        <f aca="false">2_流动资金!T$14</f>
        <v>0</v>
      </c>
      <c r="U13" s="20" t="n">
        <f aca="false">2_流动资金!U$14</f>
        <v>0</v>
      </c>
      <c r="V13" s="46" t="n">
        <f aca="false">SUM(D13:U13)</f>
        <v>1953.74150943396</v>
      </c>
    </row>
    <row r="14" customFormat="false" ht="15" hidden="false" customHeight="false" outlineLevel="0" collapsed="false">
      <c r="A14" s="13" t="s">
        <v>65</v>
      </c>
      <c r="B14" s="14" t="s">
        <v>741</v>
      </c>
      <c r="C14" s="14" t="s">
        <v>95</v>
      </c>
      <c r="D14" s="20" t="n">
        <f aca="false">4_总成本费用!D$23</f>
        <v>0</v>
      </c>
      <c r="E14" s="20" t="n">
        <f aca="false">4_总成本费用!E$23</f>
        <v>3079.7316300091</v>
      </c>
      <c r="F14" s="20" t="n">
        <f aca="false">4_总成本费用!F$23</f>
        <v>3157.97663220379</v>
      </c>
      <c r="G14" s="20" t="n">
        <f aca="false">4_总成本费用!G$23</f>
        <v>3157.97663220379</v>
      </c>
      <c r="H14" s="20" t="n">
        <f aca="false">4_总成本费用!H$23</f>
        <v>4047.12757560001</v>
      </c>
      <c r="I14" s="20" t="n">
        <f aca="false">4_总成本费用!I$23</f>
        <v>4047.12757560001</v>
      </c>
      <c r="J14" s="20" t="n">
        <f aca="false">4_总成本费用!J$23</f>
        <v>4047.12757560001</v>
      </c>
      <c r="K14" s="20" t="n">
        <f aca="false">4_总成本费用!K$23</f>
        <v>4936.27851899624</v>
      </c>
      <c r="L14" s="20" t="n">
        <f aca="false">4_总成本费用!L$23</f>
        <v>4936.27851899624</v>
      </c>
      <c r="M14" s="20" t="n">
        <f aca="false">4_总成本费用!M$23</f>
        <v>4936.27851899624</v>
      </c>
      <c r="N14" s="20" t="n">
        <f aca="false">4_总成本费用!N$23</f>
        <v>4936.27851899624</v>
      </c>
      <c r="O14" s="20" t="n">
        <f aca="false">4_总成本费用!O$23</f>
        <v>0</v>
      </c>
      <c r="P14" s="20" t="n">
        <f aca="false">4_总成本费用!P$23</f>
        <v>0</v>
      </c>
      <c r="Q14" s="20" t="n">
        <f aca="false">4_总成本费用!Q$23</f>
        <v>0</v>
      </c>
      <c r="R14" s="20" t="n">
        <f aca="false">4_总成本费用!R$23</f>
        <v>0</v>
      </c>
      <c r="S14" s="20" t="n">
        <f aca="false">4_总成本费用!S$23</f>
        <v>0</v>
      </c>
      <c r="T14" s="20" t="n">
        <f aca="false">4_总成本费用!T$23</f>
        <v>0</v>
      </c>
      <c r="U14" s="20" t="n">
        <f aca="false">4_总成本费用!U$23</f>
        <v>0</v>
      </c>
      <c r="V14" s="46" t="n">
        <f aca="false">SUM(D14:U14)</f>
        <v>41282.1816972017</v>
      </c>
    </row>
    <row r="15" customFormat="false" ht="15" hidden="false" customHeight="false" outlineLevel="0" collapsed="false">
      <c r="A15" s="13" t="s">
        <v>68</v>
      </c>
      <c r="B15" s="14" t="s">
        <v>719</v>
      </c>
      <c r="C15" s="14" t="s">
        <v>95</v>
      </c>
      <c r="D15" s="20" t="n">
        <f aca="false">6_收入税金!D$17</f>
        <v>0</v>
      </c>
      <c r="E15" s="20" t="n">
        <f aca="false">6_收入税金!E$17</f>
        <v>0</v>
      </c>
      <c r="F15" s="20" t="n">
        <f aca="false">6_收入税金!F$17</f>
        <v>0</v>
      </c>
      <c r="G15" s="20" t="n">
        <f aca="false">6_收入税金!G$17</f>
        <v>0</v>
      </c>
      <c r="H15" s="20" t="n">
        <f aca="false">6_收入税金!H$17</f>
        <v>0</v>
      </c>
      <c r="I15" s="20" t="n">
        <f aca="false">6_收入税金!I$17</f>
        <v>0</v>
      </c>
      <c r="J15" s="20" t="n">
        <f aca="false">6_收入税金!J$17</f>
        <v>0</v>
      </c>
      <c r="K15" s="20" t="n">
        <f aca="false">6_收入税金!K$17</f>
        <v>0</v>
      </c>
      <c r="L15" s="20" t="n">
        <f aca="false">6_收入税金!L$17</f>
        <v>0</v>
      </c>
      <c r="M15" s="20" t="n">
        <f aca="false">6_收入税金!M$17</f>
        <v>0</v>
      </c>
      <c r="N15" s="20" t="n">
        <f aca="false">6_收入税金!N$17</f>
        <v>0</v>
      </c>
      <c r="O15" s="20" t="n">
        <f aca="false">6_收入税金!O$17</f>
        <v>0</v>
      </c>
      <c r="P15" s="20" t="n">
        <f aca="false">6_收入税金!P$17</f>
        <v>0</v>
      </c>
      <c r="Q15" s="20" t="n">
        <f aca="false">6_收入税金!Q$17</f>
        <v>0</v>
      </c>
      <c r="R15" s="20" t="n">
        <f aca="false">6_收入税金!R$17</f>
        <v>0</v>
      </c>
      <c r="S15" s="20" t="n">
        <f aca="false">6_收入税金!S$17</f>
        <v>0</v>
      </c>
      <c r="T15" s="20" t="n">
        <f aca="false">6_收入税金!T$17</f>
        <v>0</v>
      </c>
      <c r="U15" s="20" t="n">
        <f aca="false">6_收入税金!U$17</f>
        <v>0</v>
      </c>
      <c r="V15" s="46" t="n">
        <f aca="false">SUM(D15:U15)</f>
        <v>0</v>
      </c>
    </row>
    <row r="16" customFormat="false" ht="15" hidden="false" customHeight="false" outlineLevel="0" collapsed="false">
      <c r="A16" s="13" t="s">
        <v>71</v>
      </c>
      <c r="B16" s="14" t="s">
        <v>742</v>
      </c>
      <c r="C16" s="14" t="s">
        <v>743</v>
      </c>
      <c r="D16" s="40" t="n">
        <f aca="false">0</f>
        <v>0</v>
      </c>
      <c r="E16" s="40" t="n">
        <f aca="false">0</f>
        <v>0</v>
      </c>
      <c r="F16" s="40" t="n">
        <f aca="false">0</f>
        <v>0</v>
      </c>
      <c r="G16" s="40" t="n">
        <f aca="false">0</f>
        <v>0</v>
      </c>
      <c r="H16" s="40" t="n">
        <f aca="false">0</f>
        <v>0</v>
      </c>
      <c r="I16" s="40" t="n">
        <f aca="false">0</f>
        <v>0</v>
      </c>
      <c r="J16" s="40" t="n">
        <f aca="false">0</f>
        <v>0</v>
      </c>
      <c r="K16" s="40" t="n">
        <f aca="false">0</f>
        <v>0</v>
      </c>
      <c r="L16" s="40" t="n">
        <f aca="false">0</f>
        <v>0</v>
      </c>
      <c r="M16" s="40" t="n">
        <f aca="false">0</f>
        <v>0</v>
      </c>
      <c r="N16" s="40" t="n">
        <f aca="false">0</f>
        <v>0</v>
      </c>
      <c r="O16" s="40" t="n">
        <f aca="false">0</f>
        <v>0</v>
      </c>
      <c r="P16" s="40" t="n">
        <f aca="false">0</f>
        <v>0</v>
      </c>
      <c r="Q16" s="40" t="n">
        <f aca="false">0</f>
        <v>0</v>
      </c>
      <c r="R16" s="40" t="n">
        <f aca="false">0</f>
        <v>0</v>
      </c>
      <c r="S16" s="40" t="n">
        <f aca="false">0</f>
        <v>0</v>
      </c>
      <c r="T16" s="40" t="n">
        <f aca="false">0</f>
        <v>0</v>
      </c>
      <c r="U16" s="40" t="n">
        <f aca="false">0</f>
        <v>0</v>
      </c>
      <c r="V16" s="46" t="n">
        <f aca="false">SUM(D16:U16)</f>
        <v>0</v>
      </c>
    </row>
    <row r="17" customFormat="false" ht="15" hidden="false" customHeight="false" outlineLevel="0" collapsed="false">
      <c r="A17" s="13" t="s">
        <v>56</v>
      </c>
      <c r="B17" s="54" t="s">
        <v>744</v>
      </c>
      <c r="C17" s="14" t="s">
        <v>95</v>
      </c>
      <c r="D17" s="55" t="n">
        <f aca="false">D12+D13+D14+D15+D16</f>
        <v>122417.006061</v>
      </c>
      <c r="E17" s="55" t="n">
        <f aca="false">E12+E13+E14+E15+E16</f>
        <v>4811.58634699023</v>
      </c>
      <c r="F17" s="55" t="n">
        <f aca="false">F12+F13+F14+F15+F16</f>
        <v>3379.86342465662</v>
      </c>
      <c r="G17" s="55" t="n">
        <f aca="false">G12+G13+G14+G15+G16</f>
        <v>3157.97663220379</v>
      </c>
      <c r="H17" s="55" t="n">
        <f aca="false">H12+H13+H14+H15+H16</f>
        <v>4047.12757560001</v>
      </c>
      <c r="I17" s="55" t="n">
        <f aca="false">I12+I13+I14+I15+I16</f>
        <v>4047.12757560001</v>
      </c>
      <c r="J17" s="55" t="n">
        <f aca="false">J12+J13+J14+J15+J16</f>
        <v>4047.12757560001</v>
      </c>
      <c r="K17" s="55" t="n">
        <f aca="false">K12+K13+K14+K15+K16</f>
        <v>4936.27851899624</v>
      </c>
      <c r="L17" s="55" t="n">
        <f aca="false">L12+L13+L14+L15+L16</f>
        <v>4936.27851899624</v>
      </c>
      <c r="M17" s="55" t="n">
        <f aca="false">M12+M13+M14+M15+M16</f>
        <v>4936.27851899624</v>
      </c>
      <c r="N17" s="55" t="n">
        <f aca="false">N12+N13+N14+N15+N16</f>
        <v>4936.27851899624</v>
      </c>
      <c r="O17" s="55" t="n">
        <f aca="false">O12+O13+O14+O15+O16</f>
        <v>0</v>
      </c>
      <c r="P17" s="55" t="n">
        <f aca="false">P12+P13+P14+P15+P16</f>
        <v>0</v>
      </c>
      <c r="Q17" s="55" t="n">
        <f aca="false">Q12+Q13+Q14+Q15+Q16</f>
        <v>0</v>
      </c>
      <c r="R17" s="55" t="n">
        <f aca="false">R12+R13+R14+R15+R16</f>
        <v>0</v>
      </c>
      <c r="S17" s="55" t="n">
        <f aca="false">S12+S13+S14+S15+S16</f>
        <v>0</v>
      </c>
      <c r="T17" s="55" t="n">
        <f aca="false">T12+T13+T14+T15+T16</f>
        <v>0</v>
      </c>
      <c r="U17" s="55" t="n">
        <f aca="false">U12+U13+U14+U15+U16</f>
        <v>0</v>
      </c>
      <c r="V17" s="55" t="n">
        <f aca="false">SUM(D17:U17)</f>
        <v>165652.929267636</v>
      </c>
    </row>
    <row r="18" customFormat="false" ht="15" hidden="false" customHeight="false" outlineLevel="0" collapsed="false">
      <c r="A18" s="66" t="s">
        <v>78</v>
      </c>
      <c r="B18" s="50" t="s">
        <v>745</v>
      </c>
      <c r="C18" s="49" t="s">
        <v>95</v>
      </c>
      <c r="D18" s="51" t="n">
        <f aca="false">D11-D17</f>
        <v>-122417.006061</v>
      </c>
      <c r="E18" s="51" t="n">
        <f aca="false">E11-E17</f>
        <v>16489.5457284815</v>
      </c>
      <c r="F18" s="51" t="n">
        <f aca="false">F11-F17</f>
        <v>20583.910160249</v>
      </c>
      <c r="G18" s="51" t="n">
        <f aca="false">G11-G17</f>
        <v>20805.7969527019</v>
      </c>
      <c r="H18" s="51" t="n">
        <f aca="false">H11-H17</f>
        <v>19916.6460093057</v>
      </c>
      <c r="I18" s="51" t="n">
        <f aca="false">I11-I17</f>
        <v>19916.6460093057</v>
      </c>
      <c r="J18" s="51" t="n">
        <f aca="false">J11-J17</f>
        <v>19916.6460093057</v>
      </c>
      <c r="K18" s="51" t="n">
        <f aca="false">K11-K17</f>
        <v>19027.4950659094</v>
      </c>
      <c r="L18" s="51" t="n">
        <f aca="false">L11-L17</f>
        <v>19027.4950659094</v>
      </c>
      <c r="M18" s="51" t="n">
        <f aca="false">M11-M17</f>
        <v>19027.4950659094</v>
      </c>
      <c r="N18" s="51" t="n">
        <f aca="false">N11-N17</f>
        <v>32211.5362124632</v>
      </c>
      <c r="O18" s="51" t="n">
        <f aca="false">O11-O17</f>
        <v>0</v>
      </c>
      <c r="P18" s="51" t="n">
        <f aca="false">P11-P17</f>
        <v>0</v>
      </c>
      <c r="Q18" s="51" t="n">
        <f aca="false">Q11-Q17</f>
        <v>0</v>
      </c>
      <c r="R18" s="51" t="n">
        <f aca="false">R11-R17</f>
        <v>0</v>
      </c>
      <c r="S18" s="51" t="n">
        <f aca="false">S11-S17</f>
        <v>0</v>
      </c>
      <c r="T18" s="51" t="n">
        <f aca="false">T11-T17</f>
        <v>0</v>
      </c>
      <c r="U18" s="51" t="n">
        <f aca="false">U11-U17</f>
        <v>0</v>
      </c>
      <c r="V18" s="51" t="n">
        <f aca="false">SUM(D18:U18)</f>
        <v>84506.2062185408</v>
      </c>
    </row>
    <row r="19" customFormat="false" ht="15" hidden="false" customHeight="false" outlineLevel="0" collapsed="false">
      <c r="A19" s="13" t="s">
        <v>91</v>
      </c>
      <c r="B19" s="14" t="s">
        <v>746</v>
      </c>
      <c r="C19" s="14" t="s">
        <v>95</v>
      </c>
      <c r="D19" s="46" t="n">
        <f aca="false">D18</f>
        <v>-122417.006061</v>
      </c>
      <c r="E19" s="46" t="n">
        <f aca="false">IF(1=0,E18,D19+E18)</f>
        <v>-105927.460332519</v>
      </c>
      <c r="F19" s="46" t="n">
        <f aca="false">IF(2=0,F18,E19+F18)</f>
        <v>-85343.5501722695</v>
      </c>
      <c r="G19" s="46" t="n">
        <f aca="false">IF(3=0,G18,F19+G18)</f>
        <v>-64537.7532195676</v>
      </c>
      <c r="H19" s="46" t="n">
        <f aca="false">IF(4=0,H18,G19+H18)</f>
        <v>-44621.107210262</v>
      </c>
      <c r="I19" s="46" t="n">
        <f aca="false">IF(5=0,I18,H19+I18)</f>
        <v>-24704.4612009563</v>
      </c>
      <c r="J19" s="46" t="n">
        <f aca="false">IF(6=0,J18,I19+J18)</f>
        <v>-4787.81519165067</v>
      </c>
      <c r="K19" s="46" t="n">
        <f aca="false">IF(7=0,K18,J19+K18)</f>
        <v>14239.6798742588</v>
      </c>
      <c r="L19" s="46" t="n">
        <f aca="false">IF(8=0,L18,K19+L18)</f>
        <v>33267.1749401682</v>
      </c>
      <c r="M19" s="46" t="n">
        <f aca="false">IF(9=0,M18,L19+M18)</f>
        <v>52294.6700060776</v>
      </c>
      <c r="N19" s="46" t="n">
        <f aca="false">IF(10=0,N18,M19+N18)</f>
        <v>84506.2062185408</v>
      </c>
      <c r="O19" s="46" t="n">
        <f aca="false">IF(11=0,O18,N19+O18)</f>
        <v>84506.2062185408</v>
      </c>
      <c r="P19" s="46" t="n">
        <f aca="false">IF(12=0,P18,O19+P18)</f>
        <v>84506.2062185408</v>
      </c>
      <c r="Q19" s="46" t="n">
        <f aca="false">IF(13=0,Q18,P19+Q18)</f>
        <v>84506.2062185408</v>
      </c>
      <c r="R19" s="46" t="n">
        <f aca="false">IF(14=0,R18,Q19+R18)</f>
        <v>84506.2062185408</v>
      </c>
      <c r="S19" s="46" t="n">
        <f aca="false">IF(15=0,S18,R19+S18)</f>
        <v>84506.2062185408</v>
      </c>
      <c r="T19" s="46" t="n">
        <f aca="false">IF(16=0,T18,S19+T18)</f>
        <v>84506.2062185408</v>
      </c>
      <c r="U19" s="46" t="n">
        <f aca="false">IF(17=0,U18,T19+U18)</f>
        <v>84506.2062185408</v>
      </c>
      <c r="V19" s="14"/>
    </row>
    <row r="20" customFormat="false" ht="15" hidden="false" customHeight="false" outlineLevel="0" collapsed="false">
      <c r="A20" s="13" t="s">
        <v>118</v>
      </c>
      <c r="B20" s="14" t="s">
        <v>747</v>
      </c>
      <c r="C20" s="14" t="s">
        <v>95</v>
      </c>
      <c r="D20" s="20" t="n">
        <f aca="false">7_利润!D$21</f>
        <v>0</v>
      </c>
      <c r="E20" s="20" t="n">
        <f aca="false">7_利润!E$21</f>
        <v>0</v>
      </c>
      <c r="F20" s="20" t="n">
        <f aca="false">7_利润!F$21</f>
        <v>444.583459324479</v>
      </c>
      <c r="G20" s="20" t="n">
        <f aca="false">7_利润!G$21</f>
        <v>444.583459324479</v>
      </c>
      <c r="H20" s="20" t="n">
        <f aca="false">7_利润!H$21</f>
        <v>222.295723475422</v>
      </c>
      <c r="I20" s="20" t="n">
        <f aca="false">7_利润!I$21</f>
        <v>222.295723475422</v>
      </c>
      <c r="J20" s="20" t="n">
        <f aca="false">7_利润!J$21</f>
        <v>4730.72472220309</v>
      </c>
      <c r="K20" s="20" t="n">
        <f aca="false">7_利润!K$21</f>
        <v>4508.43698635403</v>
      </c>
      <c r="L20" s="20" t="n">
        <f aca="false">7_利润!L$21</f>
        <v>4508.43698635403</v>
      </c>
      <c r="M20" s="20" t="n">
        <f aca="false">7_利润!M$21</f>
        <v>4508.43698635403</v>
      </c>
      <c r="N20" s="20" t="n">
        <f aca="false">7_利润!N$21</f>
        <v>4508.43698635403</v>
      </c>
      <c r="O20" s="20" t="n">
        <f aca="false">7_利润!O$21</f>
        <v>0</v>
      </c>
      <c r="P20" s="20" t="n">
        <f aca="false">7_利润!P$21</f>
        <v>0</v>
      </c>
      <c r="Q20" s="20" t="n">
        <f aca="false">7_利润!Q$21</f>
        <v>0</v>
      </c>
      <c r="R20" s="20" t="n">
        <f aca="false">7_利润!R$21</f>
        <v>0</v>
      </c>
      <c r="S20" s="20" t="n">
        <f aca="false">7_利润!S$21</f>
        <v>0</v>
      </c>
      <c r="T20" s="20" t="n">
        <f aca="false">7_利润!T$21</f>
        <v>0</v>
      </c>
      <c r="U20" s="20" t="n">
        <f aca="false">7_利润!U$21</f>
        <v>0</v>
      </c>
      <c r="V20" s="46" t="n">
        <f aca="false">SUM(D20:U20)</f>
        <v>24098.231033219</v>
      </c>
    </row>
    <row r="21" customFormat="false" ht="15" hidden="false" customHeight="false" outlineLevel="0" collapsed="false">
      <c r="A21" s="66" t="s">
        <v>161</v>
      </c>
      <c r="B21" s="50" t="s">
        <v>748</v>
      </c>
      <c r="C21" s="49" t="s">
        <v>95</v>
      </c>
      <c r="D21" s="51" t="n">
        <f aca="false">D18-D20</f>
        <v>-122417.006061</v>
      </c>
      <c r="E21" s="51" t="n">
        <f aca="false">E18-E20</f>
        <v>16489.5457284815</v>
      </c>
      <c r="F21" s="51" t="n">
        <f aca="false">F18-F20</f>
        <v>20139.3267009246</v>
      </c>
      <c r="G21" s="51" t="n">
        <f aca="false">G18-G20</f>
        <v>20361.2134933774</v>
      </c>
      <c r="H21" s="51" t="n">
        <f aca="false">H18-H20</f>
        <v>19694.3502858302</v>
      </c>
      <c r="I21" s="51" t="n">
        <f aca="false">I18-I20</f>
        <v>19694.3502858302</v>
      </c>
      <c r="J21" s="51" t="n">
        <f aca="false">J18-J20</f>
        <v>15185.9212871026</v>
      </c>
      <c r="K21" s="51" t="n">
        <f aca="false">K18-K20</f>
        <v>14519.0580795554</v>
      </c>
      <c r="L21" s="51" t="n">
        <f aca="false">L18-L20</f>
        <v>14519.0580795554</v>
      </c>
      <c r="M21" s="51" t="n">
        <f aca="false">M18-M20</f>
        <v>14519.0580795554</v>
      </c>
      <c r="N21" s="51" t="n">
        <f aca="false">N18-N20</f>
        <v>27703.0992261091</v>
      </c>
      <c r="O21" s="51" t="n">
        <f aca="false">O18-O20</f>
        <v>0</v>
      </c>
      <c r="P21" s="51" t="n">
        <f aca="false">P18-P20</f>
        <v>0</v>
      </c>
      <c r="Q21" s="51" t="n">
        <f aca="false">Q18-Q20</f>
        <v>0</v>
      </c>
      <c r="R21" s="51" t="n">
        <f aca="false">R18-R20</f>
        <v>0</v>
      </c>
      <c r="S21" s="51" t="n">
        <f aca="false">S18-S20</f>
        <v>0</v>
      </c>
      <c r="T21" s="51" t="n">
        <f aca="false">T18-T20</f>
        <v>0</v>
      </c>
      <c r="U21" s="51" t="n">
        <f aca="false">U18-U20</f>
        <v>0</v>
      </c>
      <c r="V21" s="51" t="n">
        <f aca="false">SUM(D21:U21)</f>
        <v>60407.9751853217</v>
      </c>
    </row>
    <row r="22" customFormat="false" ht="15" hidden="false" customHeight="false" outlineLevel="0" collapsed="false">
      <c r="A22" s="13" t="s">
        <v>556</v>
      </c>
      <c r="B22" s="14" t="s">
        <v>749</v>
      </c>
      <c r="C22" s="14" t="s">
        <v>95</v>
      </c>
      <c r="D22" s="46" t="n">
        <f aca="false">D21</f>
        <v>-122417.006061</v>
      </c>
      <c r="E22" s="46" t="n">
        <f aca="false">IF(1=0,E21,D22+E21)</f>
        <v>-105927.460332519</v>
      </c>
      <c r="F22" s="46" t="n">
        <f aca="false">IF(2=0,F21,E22+F21)</f>
        <v>-85788.133631594</v>
      </c>
      <c r="G22" s="46" t="n">
        <f aca="false">IF(3=0,G21,F22+G21)</f>
        <v>-65426.9201382166</v>
      </c>
      <c r="H22" s="46" t="n">
        <f aca="false">IF(4=0,H21,G22+H21)</f>
        <v>-45732.5698523864</v>
      </c>
      <c r="I22" s="46" t="n">
        <f aca="false">IF(5=0,I21,H22+I21)</f>
        <v>-26038.2195665561</v>
      </c>
      <c r="J22" s="46" t="n">
        <f aca="false">IF(6=0,J21,I22+J21)</f>
        <v>-10852.2982794536</v>
      </c>
      <c r="K22" s="46" t="n">
        <f aca="false">IF(7=0,K21,J22+K21)</f>
        <v>3666.75980010183</v>
      </c>
      <c r="L22" s="46" t="n">
        <f aca="false">IF(8=0,L21,K22+L21)</f>
        <v>18185.8178796572</v>
      </c>
      <c r="M22" s="46" t="n">
        <f aca="false">IF(9=0,M21,L22+M21)</f>
        <v>32704.8759592126</v>
      </c>
      <c r="N22" s="46" t="n">
        <f aca="false">IF(10=0,N21,M22+N21)</f>
        <v>60407.9751853217</v>
      </c>
      <c r="O22" s="46" t="n">
        <f aca="false">IF(11=0,O21,N22+O21)</f>
        <v>60407.9751853217</v>
      </c>
      <c r="P22" s="46" t="n">
        <f aca="false">IF(12=0,P21,O22+P21)</f>
        <v>60407.9751853217</v>
      </c>
      <c r="Q22" s="46" t="n">
        <f aca="false">IF(13=0,Q21,P22+Q21)</f>
        <v>60407.9751853217</v>
      </c>
      <c r="R22" s="46" t="n">
        <f aca="false">IF(14=0,R21,Q22+R21)</f>
        <v>60407.9751853217</v>
      </c>
      <c r="S22" s="46" t="n">
        <f aca="false">IF(15=0,S21,R22+S21)</f>
        <v>60407.9751853217</v>
      </c>
      <c r="T22" s="46" t="n">
        <f aca="false">IF(16=0,T21,S22+T21)</f>
        <v>60407.9751853217</v>
      </c>
      <c r="U22" s="46" t="n">
        <f aca="false">IF(17=0,U21,T22+U21)</f>
        <v>60407.9751853217</v>
      </c>
      <c r="V22" s="14"/>
    </row>
    <row r="23" customFormat="false" ht="15" hidden="false" customHeight="false" outlineLevel="0" collapsed="false">
      <c r="A23" s="14"/>
      <c r="B23" s="14" t="s">
        <v>750</v>
      </c>
      <c r="C23" s="14"/>
      <c r="D23" s="69" t="n">
        <f aca="false">IF(D$4="",0,1/(1+0_参数!$C$14)^D$3)</f>
        <v>0.925925925925926</v>
      </c>
      <c r="E23" s="69" t="n">
        <f aca="false">IF(E$4="",0,1/(1+0_参数!$C$14)^E$3)</f>
        <v>0.857338820301783</v>
      </c>
      <c r="F23" s="69" t="n">
        <f aca="false">IF(F$4="",0,1/(1+0_参数!$C$14)^F$3)</f>
        <v>0.79383224102017</v>
      </c>
      <c r="G23" s="69" t="n">
        <f aca="false">IF(G$4="",0,1/(1+0_参数!$C$14)^G$3)</f>
        <v>0.735029852796453</v>
      </c>
      <c r="H23" s="69" t="n">
        <f aca="false">IF(H$4="",0,1/(1+0_参数!$C$14)^H$3)</f>
        <v>0.680583197033753</v>
      </c>
      <c r="I23" s="69" t="n">
        <f aca="false">IF(I$4="",0,1/(1+0_参数!$C$14)^I$3)</f>
        <v>0.630169626883105</v>
      </c>
      <c r="J23" s="69" t="n">
        <f aca="false">IF(J$4="",0,1/(1+0_参数!$C$14)^J$3)</f>
        <v>0.583490395262134</v>
      </c>
      <c r="K23" s="69" t="n">
        <f aca="false">IF(K$4="",0,1/(1+0_参数!$C$14)^K$3)</f>
        <v>0.540268884501976</v>
      </c>
      <c r="L23" s="69" t="n">
        <f aca="false">IF(L$4="",0,1/(1+0_参数!$C$14)^L$3)</f>
        <v>0.500248967131459</v>
      </c>
      <c r="M23" s="69" t="n">
        <f aca="false">IF(M$4="",0,1/(1+0_参数!$C$14)^M$3)</f>
        <v>0.463193488084684</v>
      </c>
      <c r="N23" s="69" t="n">
        <f aca="false">IF(N$4="",0,1/(1+0_参数!$C$14)^N$3)</f>
        <v>0.428882859337671</v>
      </c>
      <c r="O23" s="69" t="n">
        <f aca="false">IF(O$4="",0,1/(1+0_参数!$C$14)^O$3)</f>
        <v>0</v>
      </c>
      <c r="P23" s="69" t="n">
        <f aca="false">IF(P$4="",0,1/(1+0_参数!$C$14)^P$3)</f>
        <v>0</v>
      </c>
      <c r="Q23" s="69" t="n">
        <f aca="false">IF(Q$4="",0,1/(1+0_参数!$C$14)^Q$3)</f>
        <v>0</v>
      </c>
      <c r="R23" s="69" t="n">
        <f aca="false">IF(R$4="",0,1/(1+0_参数!$C$14)^R$3)</f>
        <v>0</v>
      </c>
      <c r="S23" s="69" t="n">
        <f aca="false">IF(S$4="",0,1/(1+0_参数!$C$14)^S$3)</f>
        <v>0</v>
      </c>
      <c r="T23" s="69" t="n">
        <f aca="false">IF(T$4="",0,1/(1+0_参数!$C$14)^T$3)</f>
        <v>0</v>
      </c>
      <c r="U23" s="69" t="n">
        <f aca="false">IF(U$4="",0,1/(1+0_参数!$C$14)^U$3)</f>
        <v>0</v>
      </c>
      <c r="V23" s="14"/>
    </row>
    <row r="24" customFormat="false" ht="15" hidden="false" customHeight="false" outlineLevel="0" collapsed="false">
      <c r="A24" s="14"/>
      <c r="B24" s="14" t="s">
        <v>751</v>
      </c>
      <c r="C24" s="14" t="s">
        <v>95</v>
      </c>
      <c r="D24" s="46" t="n">
        <f aca="false">D18*D23</f>
        <v>-113349.079686111</v>
      </c>
      <c r="E24" s="46" t="n">
        <f aca="false">E18*E23</f>
        <v>14137.1276821686</v>
      </c>
      <c r="F24" s="46" t="n">
        <f aca="false">F18*F23</f>
        <v>16340.1715314683</v>
      </c>
      <c r="G24" s="46" t="n">
        <f aca="false">G18*G23</f>
        <v>15292.8818714574</v>
      </c>
      <c r="H24" s="46" t="n">
        <f aca="false">H18*H23</f>
        <v>13554.9346152028</v>
      </c>
      <c r="I24" s="46" t="n">
        <f aca="false">I18*I23</f>
        <v>12550.865384447</v>
      </c>
      <c r="J24" s="46" t="n">
        <f aca="false">J18*J23</f>
        <v>11621.1716522658</v>
      </c>
      <c r="K24" s="46" t="n">
        <f aca="false">K18*K23</f>
        <v>10279.9635341257</v>
      </c>
      <c r="L24" s="46" t="n">
        <f aca="false">L18*L23</f>
        <v>9518.48475382012</v>
      </c>
      <c r="M24" s="46" t="n">
        <f aca="false">M18*M23</f>
        <v>8813.4118090927</v>
      </c>
      <c r="N24" s="46" t="n">
        <f aca="false">N18*N23</f>
        <v>13814.9757544601</v>
      </c>
      <c r="O24" s="46" t="n">
        <f aca="false">O18*O23</f>
        <v>0</v>
      </c>
      <c r="P24" s="46" t="n">
        <f aca="false">P18*P23</f>
        <v>0</v>
      </c>
      <c r="Q24" s="46" t="n">
        <f aca="false">Q18*Q23</f>
        <v>0</v>
      </c>
      <c r="R24" s="46" t="n">
        <f aca="false">R18*R23</f>
        <v>0</v>
      </c>
      <c r="S24" s="46" t="n">
        <f aca="false">S18*S23</f>
        <v>0</v>
      </c>
      <c r="T24" s="46" t="n">
        <f aca="false">T18*T23</f>
        <v>0</v>
      </c>
      <c r="U24" s="46" t="n">
        <f aca="false">U18*U23</f>
        <v>0</v>
      </c>
      <c r="V24" s="46" t="n">
        <f aca="false">SUM(D24:U24)</f>
        <v>12574.9089023974</v>
      </c>
    </row>
    <row r="25" customFormat="false" ht="15" hidden="false" customHeight="false" outlineLevel="0" collapsed="false">
      <c r="A25" s="14"/>
      <c r="B25" s="14" t="s">
        <v>752</v>
      </c>
      <c r="C25" s="14" t="s">
        <v>95</v>
      </c>
      <c r="D25" s="46" t="n">
        <f aca="false">D24</f>
        <v>-113349.079686111</v>
      </c>
      <c r="E25" s="46" t="n">
        <f aca="false">IF(1=0,E24,D25+E24)</f>
        <v>-99211.9520039425</v>
      </c>
      <c r="F25" s="46" t="n">
        <f aca="false">IF(2=0,F24,E25+F24)</f>
        <v>-82871.7804724741</v>
      </c>
      <c r="G25" s="46" t="n">
        <f aca="false">IF(3=0,G24,F25+G24)</f>
        <v>-67578.8986010168</v>
      </c>
      <c r="H25" s="46" t="n">
        <f aca="false">IF(4=0,H24,G25+H24)</f>
        <v>-54023.963985814</v>
      </c>
      <c r="I25" s="46" t="n">
        <f aca="false">IF(5=0,I24,H25+I24)</f>
        <v>-41473.098601367</v>
      </c>
      <c r="J25" s="46" t="n">
        <f aca="false">IF(6=0,J24,I25+J24)</f>
        <v>-29851.9269491013</v>
      </c>
      <c r="K25" s="46" t="n">
        <f aca="false">IF(7=0,K24,J25+K24)</f>
        <v>-19571.9634149755</v>
      </c>
      <c r="L25" s="46" t="n">
        <f aca="false">IF(8=0,L24,K25+L24)</f>
        <v>-10053.4786611554</v>
      </c>
      <c r="M25" s="46" t="n">
        <f aca="false">IF(9=0,M24,L25+M24)</f>
        <v>-1240.0668520627</v>
      </c>
      <c r="N25" s="46" t="n">
        <f aca="false">IF(10=0,N24,M25+N24)</f>
        <v>12574.9089023974</v>
      </c>
      <c r="O25" s="46" t="n">
        <f aca="false">IF(11=0,O24,N25+O24)</f>
        <v>12574.9089023974</v>
      </c>
      <c r="P25" s="46" t="n">
        <f aca="false">IF(12=0,P24,O25+P24)</f>
        <v>12574.9089023974</v>
      </c>
      <c r="Q25" s="46" t="n">
        <f aca="false">IF(13=0,Q24,P25+Q24)</f>
        <v>12574.9089023974</v>
      </c>
      <c r="R25" s="46" t="n">
        <f aca="false">IF(14=0,R24,Q25+R24)</f>
        <v>12574.9089023974</v>
      </c>
      <c r="S25" s="46" t="n">
        <f aca="false">IF(15=0,S24,R25+S24)</f>
        <v>12574.9089023974</v>
      </c>
      <c r="T25" s="46" t="n">
        <f aca="false">IF(16=0,T24,S25+T24)</f>
        <v>12574.9089023974</v>
      </c>
      <c r="U25" s="46" t="n">
        <f aca="false">IF(17=0,U24,T25+U24)</f>
        <v>12574.9089023974</v>
      </c>
      <c r="V25" s="14"/>
    </row>
    <row r="26" customFormat="false" ht="15" hidden="false" customHeight="false" outlineLevel="0" collapsed="false">
      <c r="A26" s="14"/>
      <c r="B26" s="14" t="s">
        <v>753</v>
      </c>
      <c r="C26" s="14" t="s">
        <v>95</v>
      </c>
      <c r="D26" s="46" t="n">
        <f aca="false">D21*D23</f>
        <v>-113349.079686111</v>
      </c>
      <c r="E26" s="46" t="n">
        <f aca="false">E21*E23</f>
        <v>14137.1276821686</v>
      </c>
      <c r="F26" s="46" t="n">
        <f aca="false">F21*F23</f>
        <v>15987.2468476323</v>
      </c>
      <c r="G26" s="46" t="n">
        <f aca="false">G21*G23</f>
        <v>14966.0997567943</v>
      </c>
      <c r="H26" s="46" t="n">
        <f aca="false">H21*H23</f>
        <v>13403.6438810329</v>
      </c>
      <c r="I26" s="46" t="n">
        <f aca="false">I21*I23</f>
        <v>12410.7813713268</v>
      </c>
      <c r="J26" s="46" t="n">
        <f aca="false">J21*J23</f>
        <v>8860.83921423112</v>
      </c>
      <c r="K26" s="46" t="n">
        <f aca="false">K21*K23</f>
        <v>7844.19531266079</v>
      </c>
      <c r="L26" s="46" t="n">
        <f aca="false">L21*L23</f>
        <v>7263.14380801925</v>
      </c>
      <c r="M26" s="46" t="n">
        <f aca="false">M21*M23</f>
        <v>6725.13315557338</v>
      </c>
      <c r="N26" s="46" t="n">
        <f aca="false">N21*N23</f>
        <v>11881.3844086089</v>
      </c>
      <c r="O26" s="46" t="n">
        <f aca="false">O21*O23</f>
        <v>0</v>
      </c>
      <c r="P26" s="46" t="n">
        <f aca="false">P21*P23</f>
        <v>0</v>
      </c>
      <c r="Q26" s="46" t="n">
        <f aca="false">Q21*Q23</f>
        <v>0</v>
      </c>
      <c r="R26" s="46" t="n">
        <f aca="false">R21*R23</f>
        <v>0</v>
      </c>
      <c r="S26" s="46" t="n">
        <f aca="false">S21*S23</f>
        <v>0</v>
      </c>
      <c r="T26" s="46" t="n">
        <f aca="false">T21*T23</f>
        <v>0</v>
      </c>
      <c r="U26" s="46" t="n">
        <f aca="false">U21*U23</f>
        <v>0</v>
      </c>
      <c r="V26" s="46" t="n">
        <f aca="false">SUM(D26:U26)</f>
        <v>130.515751937312</v>
      </c>
    </row>
    <row r="27" customFormat="false" ht="15" hidden="false" customHeight="false" outlineLevel="0" collapsed="false">
      <c r="A27" s="14"/>
      <c r="B27" s="14" t="s">
        <v>754</v>
      </c>
      <c r="C27" s="14" t="s">
        <v>95</v>
      </c>
      <c r="D27" s="46" t="n">
        <f aca="false">D26</f>
        <v>-113349.079686111</v>
      </c>
      <c r="E27" s="46" t="n">
        <f aca="false">IF(1=0,E26,D27+E26)</f>
        <v>-99211.9520039425</v>
      </c>
      <c r="F27" s="46" t="n">
        <f aca="false">IF(2=0,F26,E27+F26)</f>
        <v>-83224.7051563102</v>
      </c>
      <c r="G27" s="46" t="n">
        <f aca="false">IF(3=0,G26,F27+G26)</f>
        <v>-68258.6053995159</v>
      </c>
      <c r="H27" s="46" t="n">
        <f aca="false">IF(4=0,H26,G27+H26)</f>
        <v>-54854.9615184829</v>
      </c>
      <c r="I27" s="46" t="n">
        <f aca="false">IF(5=0,I26,H27+I26)</f>
        <v>-42444.1801471561</v>
      </c>
      <c r="J27" s="46" t="n">
        <f aca="false">IF(6=0,J26,I27+J26)</f>
        <v>-33583.340932925</v>
      </c>
      <c r="K27" s="46" t="n">
        <f aca="false">IF(7=0,K26,J27+K26)</f>
        <v>-25739.1456202642</v>
      </c>
      <c r="L27" s="46" t="n">
        <f aca="false">IF(8=0,L26,K27+L26)</f>
        <v>-18476.001812245</v>
      </c>
      <c r="M27" s="46" t="n">
        <f aca="false">IF(9=0,M26,L27+M26)</f>
        <v>-11750.8686566716</v>
      </c>
      <c r="N27" s="46" t="n">
        <f aca="false">IF(10=0,N26,M27+N26)</f>
        <v>130.515751937306</v>
      </c>
      <c r="O27" s="46" t="n">
        <f aca="false">IF(11=0,O26,N27+O26)</f>
        <v>130.515751937306</v>
      </c>
      <c r="P27" s="46" t="n">
        <f aca="false">IF(12=0,P26,O27+P26)</f>
        <v>130.515751937306</v>
      </c>
      <c r="Q27" s="46" t="n">
        <f aca="false">IF(13=0,Q26,P27+Q26)</f>
        <v>130.515751937306</v>
      </c>
      <c r="R27" s="46" t="n">
        <f aca="false">IF(14=0,R26,Q27+R26)</f>
        <v>130.515751937306</v>
      </c>
      <c r="S27" s="46" t="n">
        <f aca="false">IF(15=0,S26,R27+S26)</f>
        <v>130.515751937306</v>
      </c>
      <c r="T27" s="46" t="n">
        <f aca="false">IF(16=0,T26,S27+T26)</f>
        <v>130.515751937306</v>
      </c>
      <c r="U27" s="46" t="n">
        <f aca="false">IF(17=0,U26,T27+U26)</f>
        <v>130.515751937306</v>
      </c>
      <c r="V27" s="14"/>
    </row>
    <row r="28" customFormat="false" ht="15" hidden="false" customHeight="false" outlineLevel="0" collapsed="false">
      <c r="B28" s="56" t="s">
        <v>755</v>
      </c>
    </row>
    <row r="29" customFormat="false" ht="15" hidden="false" customHeight="false" outlineLevel="0" collapsed="false">
      <c r="B29" s="54" t="s">
        <v>139</v>
      </c>
      <c r="C29" s="14"/>
      <c r="D29" s="70" t="n">
        <f aca="false">IFERROR(IRR(D18:U18),0)</f>
        <v>0.10281066169749</v>
      </c>
    </row>
    <row r="30" customFormat="false" ht="15" hidden="false" customHeight="false" outlineLevel="0" collapsed="false">
      <c r="B30" s="54" t="s">
        <v>141</v>
      </c>
      <c r="C30" s="14"/>
      <c r="D30" s="70" t="n">
        <f aca="false">IFERROR(IRR(D21:U21),0)</f>
        <v>0.0802554945268062</v>
      </c>
    </row>
    <row r="31" customFormat="false" ht="15" hidden="false" customHeight="false" outlineLevel="0" collapsed="false">
      <c r="B31" s="54" t="s">
        <v>756</v>
      </c>
      <c r="C31" s="14"/>
      <c r="D31" s="60" t="n">
        <f aca="false">NPV(0_参数!$C$14,D18:U18)</f>
        <v>12574.9089023974</v>
      </c>
    </row>
    <row r="32" customFormat="false" ht="15" hidden="false" customHeight="false" outlineLevel="0" collapsed="false">
      <c r="B32" s="54" t="s">
        <v>757</v>
      </c>
      <c r="C32" s="14"/>
      <c r="D32" s="60" t="n">
        <f aca="false">NPV(0_参数!$C$14,D21:U21)</f>
        <v>130.515751937298</v>
      </c>
    </row>
    <row r="33" customFormat="false" ht="15" hidden="false" customHeight="false" outlineLevel="0" collapsed="false">
      <c r="B33" s="54" t="s">
        <v>758</v>
      </c>
      <c r="C33" s="14"/>
      <c r="D33" s="71" t="n">
        <f aca="false">IFERROR(COUNTIF(D19:U19,"&lt;0")+(-INDEX(D19:U19,COUNTIF(D19:U19,"&lt;0")))/INDEX(D18:U18,COUNTIF(D19:U19,"&lt;0")+1),"未回收")</f>
        <v>7.25162614285623</v>
      </c>
    </row>
    <row r="34" customFormat="false" ht="15" hidden="false" customHeight="false" outlineLevel="0" collapsed="false">
      <c r="B34" s="54" t="s">
        <v>759</v>
      </c>
      <c r="C34" s="14"/>
      <c r="D34" s="71" t="n">
        <f aca="false">IFERROR(COUNTIF(D22:U22,"&lt;0")+(-INDEX(D22:U22,COUNTIF(D22:U22,"&lt;0")))/INDEX(D21:U21,COUNTIF(D22:U22,"&lt;0")+1),"未回收")</f>
        <v>7.74745195039442</v>
      </c>
    </row>
    <row r="35" customFormat="false" ht="15" hidden="false" customHeight="false" outlineLevel="0" collapsed="false">
      <c r="B35" s="54" t="s">
        <v>147</v>
      </c>
      <c r="C35" s="14"/>
      <c r="D35" s="71" t="n">
        <f aca="false">IFERROR(COUNTIF(D25:U25,"&lt;0")+(-INDEX(D25:U25,COUNTIF(D25:U25,"&lt;0")))/INDEX(D24:U24,COUNTIF(D25:U25,"&lt;0")+1),"未回收")</f>
        <v>10.08976250658</v>
      </c>
    </row>
    <row r="36" customFormat="false" ht="15" hidden="false" customHeight="false" outlineLevel="0" collapsed="false">
      <c r="B36" s="54" t="s">
        <v>149</v>
      </c>
      <c r="C36" s="14"/>
      <c r="D36" s="71" t="n">
        <f aca="false">IFERROR(COUNTIF(D27:U27,"&lt;0")+(-INDEX(D27:U27,COUNTIF(D27:U27,"&lt;0")))/INDEX(D26:U26,COUNTIF(D27:U27,"&lt;0")+1),"未回收")</f>
        <v>10.989015105694</v>
      </c>
    </row>
    <row r="38" customFormat="false" ht="15" hidden="false" customHeight="false" outlineLevel="0" collapsed="false">
      <c r="B38" s="54" t="s">
        <v>760</v>
      </c>
      <c r="D38" s="72" t="n">
        <f aca="false">IFERROR(INDEX(4_总成本费用!D$29:U$29,0_参数!$C$9+0_参数!$C$15)/(INDEX(6_收入税金!D$11:U$11,0_参数!$C$9+0_参数!$C$15)-INDEX(4_总成本费用!D$28:U$28,0_参数!$C$9+0_参数!$C$15)-INDEX(6_收入税金!D$17:U$17,0_参数!$C$9+0_参数!$C$15)),0)</f>
        <v>1.03288702847122</v>
      </c>
    </row>
    <row r="39" customFormat="false" ht="15" hidden="false" customHeight="false" outlineLevel="0" collapsed="false">
      <c r="B39" s="54" t="s">
        <v>761</v>
      </c>
      <c r="D39" s="73" t="n">
        <f aca="false">IFERROR(7_利润!$V$12/1_总投资估算!$G$33,0)</f>
        <v>0.0626189675953974</v>
      </c>
    </row>
    <row r="40" customFormat="false" ht="15" hidden="false" customHeight="false" outlineLevel="0" collapsed="false">
      <c r="B40" s="54" t="s">
        <v>762</v>
      </c>
      <c r="D40" s="73" t="n">
        <f aca="false">IFERROR((7_利润!$V$12+6_收入税金!$V$17+6_收入税金!$V$15)/1_总投资估算!$G$33,0)</f>
        <v>0.0626189675953974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21" min="4" style="0" width="11"/>
    <col collapsed="false" customWidth="true" hidden="false" outlineLevel="0" max="22" min="22" style="0" width="13"/>
  </cols>
  <sheetData>
    <row r="1" customFormat="false" ht="21.6" hidden="false" customHeight="false" outlineLevel="0" collapsed="false">
      <c r="A1" s="6" t="s">
        <v>763</v>
      </c>
    </row>
    <row r="2" customFormat="false" ht="15" hidden="false" customHeight="false" outlineLevel="0" collapsed="false">
      <c r="A2" s="7" t="s">
        <v>764</v>
      </c>
    </row>
    <row r="3" customFormat="false" ht="15" hidden="false" customHeight="false" outlineLevel="0" collapsed="false">
      <c r="A3" s="27" t="s">
        <v>25</v>
      </c>
      <c r="B3" s="27" t="s">
        <v>611</v>
      </c>
      <c r="C3" s="27" t="s">
        <v>612</v>
      </c>
      <c r="D3" s="61" t="n">
        <v>1</v>
      </c>
      <c r="E3" s="61" t="n">
        <f aca="false">D3+1</f>
        <v>2</v>
      </c>
      <c r="F3" s="61" t="n">
        <f aca="false">E3+1</f>
        <v>3</v>
      </c>
      <c r="G3" s="61" t="n">
        <f aca="false">F3+1</f>
        <v>4</v>
      </c>
      <c r="H3" s="61" t="n">
        <f aca="false">G3+1</f>
        <v>5</v>
      </c>
      <c r="I3" s="61" t="n">
        <f aca="false">H3+1</f>
        <v>6</v>
      </c>
      <c r="J3" s="61" t="n">
        <f aca="false">I3+1</f>
        <v>7</v>
      </c>
      <c r="K3" s="61" t="n">
        <f aca="false">J3+1</f>
        <v>8</v>
      </c>
      <c r="L3" s="61" t="n">
        <f aca="false">K3+1</f>
        <v>9</v>
      </c>
      <c r="M3" s="61" t="n">
        <f aca="false">L3+1</f>
        <v>10</v>
      </c>
      <c r="N3" s="61" t="n">
        <f aca="false">M3+1</f>
        <v>11</v>
      </c>
      <c r="O3" s="61" t="n">
        <f aca="false">N3+1</f>
        <v>12</v>
      </c>
      <c r="P3" s="61" t="n">
        <f aca="false">O3+1</f>
        <v>13</v>
      </c>
      <c r="Q3" s="61" t="n">
        <f aca="false">P3+1</f>
        <v>14</v>
      </c>
      <c r="R3" s="61" t="n">
        <f aca="false">Q3+1</f>
        <v>15</v>
      </c>
      <c r="S3" s="61" t="n">
        <f aca="false">R3+1</f>
        <v>16</v>
      </c>
      <c r="T3" s="61" t="n">
        <f aca="false">S3+1</f>
        <v>17</v>
      </c>
      <c r="U3" s="61" t="n">
        <f aca="false">T3+1</f>
        <v>18</v>
      </c>
      <c r="V3" s="8" t="s">
        <v>613</v>
      </c>
    </row>
    <row r="4" customFormat="false" ht="15" hidden="false" customHeight="false" outlineLevel="0" collapsed="false">
      <c r="A4" s="62"/>
      <c r="B4" s="27" t="s">
        <v>614</v>
      </c>
      <c r="C4" s="62"/>
      <c r="D4" s="63" t="str">
        <f aca="false">IF(D$3&lt;=0_参数!$C$9,"建设",IF(D$3&lt;=0_参数!$C$9+0_参数!$C$10,"运营",""))</f>
        <v>建设</v>
      </c>
      <c r="E4" s="63" t="str">
        <f aca="false">IF(E$3&lt;=0_参数!$C$9,"建设",IF(E$3&lt;=0_参数!$C$9+0_参数!$C$10,"运营",""))</f>
        <v>运营</v>
      </c>
      <c r="F4" s="63" t="str">
        <f aca="false">IF(F$3&lt;=0_参数!$C$9,"建设",IF(F$3&lt;=0_参数!$C$9+0_参数!$C$10,"运营",""))</f>
        <v>运营</v>
      </c>
      <c r="G4" s="63" t="str">
        <f aca="false">IF(G$3&lt;=0_参数!$C$9,"建设",IF(G$3&lt;=0_参数!$C$9+0_参数!$C$10,"运营",""))</f>
        <v>运营</v>
      </c>
      <c r="H4" s="63" t="str">
        <f aca="false">IF(H$3&lt;=0_参数!$C$9,"建设",IF(H$3&lt;=0_参数!$C$9+0_参数!$C$10,"运营",""))</f>
        <v>运营</v>
      </c>
      <c r="I4" s="63" t="str">
        <f aca="false">IF(I$3&lt;=0_参数!$C$9,"建设",IF(I$3&lt;=0_参数!$C$9+0_参数!$C$10,"运营",""))</f>
        <v>运营</v>
      </c>
      <c r="J4" s="63" t="str">
        <f aca="false">IF(J$3&lt;=0_参数!$C$9,"建设",IF(J$3&lt;=0_参数!$C$9+0_参数!$C$10,"运营",""))</f>
        <v>运营</v>
      </c>
      <c r="K4" s="63" t="str">
        <f aca="false">IF(K$3&lt;=0_参数!$C$9,"建设",IF(K$3&lt;=0_参数!$C$9+0_参数!$C$10,"运营",""))</f>
        <v>运营</v>
      </c>
      <c r="L4" s="63" t="str">
        <f aca="false">IF(L$3&lt;=0_参数!$C$9,"建设",IF(L$3&lt;=0_参数!$C$9+0_参数!$C$10,"运营",""))</f>
        <v>运营</v>
      </c>
      <c r="M4" s="63" t="str">
        <f aca="false">IF(M$3&lt;=0_参数!$C$9,"建设",IF(M$3&lt;=0_参数!$C$9+0_参数!$C$10,"运营",""))</f>
        <v>运营</v>
      </c>
      <c r="N4" s="63" t="str">
        <f aca="false">IF(N$3&lt;=0_参数!$C$9,"建设",IF(N$3&lt;=0_参数!$C$9+0_参数!$C$10,"运营",""))</f>
        <v>运营</v>
      </c>
      <c r="O4" s="63" t="str">
        <f aca="false">IF(O$3&lt;=0_参数!$C$9,"建设",IF(O$3&lt;=0_参数!$C$9+0_参数!$C$10,"运营",""))</f>
        <v/>
      </c>
      <c r="P4" s="63" t="str">
        <f aca="false">IF(P$3&lt;=0_参数!$C$9,"建设",IF(P$3&lt;=0_参数!$C$9+0_参数!$C$10,"运营",""))</f>
        <v/>
      </c>
      <c r="Q4" s="63" t="str">
        <f aca="false">IF(Q$3&lt;=0_参数!$C$9,"建设",IF(Q$3&lt;=0_参数!$C$9+0_参数!$C$10,"运营",""))</f>
        <v/>
      </c>
      <c r="R4" s="63" t="str">
        <f aca="false">IF(R$3&lt;=0_参数!$C$9,"建设",IF(R$3&lt;=0_参数!$C$9+0_参数!$C$10,"运营",""))</f>
        <v/>
      </c>
      <c r="S4" s="63" t="str">
        <f aca="false">IF(S$3&lt;=0_参数!$C$9,"建设",IF(S$3&lt;=0_参数!$C$9+0_参数!$C$10,"运营",""))</f>
        <v/>
      </c>
      <c r="T4" s="63" t="str">
        <f aca="false">IF(T$3&lt;=0_参数!$C$9,"建设",IF(T$3&lt;=0_参数!$C$9+0_参数!$C$10,"运营",""))</f>
        <v/>
      </c>
      <c r="U4" s="63" t="str">
        <f aca="false">IF(U$3&lt;=0_参数!$C$9,"建设",IF(U$3&lt;=0_参数!$C$9+0_参数!$C$10,"运营",""))</f>
        <v/>
      </c>
      <c r="V4" s="62"/>
    </row>
    <row r="5" customFormat="false" ht="15" hidden="false" customHeight="false" outlineLevel="0" collapsed="false">
      <c r="A5" s="62"/>
      <c r="B5" s="27" t="s">
        <v>615</v>
      </c>
      <c r="C5" s="62"/>
      <c r="D5" s="64" t="n">
        <f aca="false">IF(D$4="运营",D$3-0_参数!$C$9,0)</f>
        <v>0</v>
      </c>
      <c r="E5" s="64" t="n">
        <f aca="false">IF(E$4="运营",E$3-0_参数!$C$9,0)</f>
        <v>1</v>
      </c>
      <c r="F5" s="64" t="n">
        <f aca="false">IF(F$4="运营",F$3-0_参数!$C$9,0)</f>
        <v>2</v>
      </c>
      <c r="G5" s="64" t="n">
        <f aca="false">IF(G$4="运营",G$3-0_参数!$C$9,0)</f>
        <v>3</v>
      </c>
      <c r="H5" s="64" t="n">
        <f aca="false">IF(H$4="运营",H$3-0_参数!$C$9,0)</f>
        <v>4</v>
      </c>
      <c r="I5" s="64" t="n">
        <f aca="false">IF(I$4="运营",I$3-0_参数!$C$9,0)</f>
        <v>5</v>
      </c>
      <c r="J5" s="64" t="n">
        <f aca="false">IF(J$4="运营",J$3-0_参数!$C$9,0)</f>
        <v>6</v>
      </c>
      <c r="K5" s="64" t="n">
        <f aca="false">IF(K$4="运营",K$3-0_参数!$C$9,0)</f>
        <v>7</v>
      </c>
      <c r="L5" s="64" t="n">
        <f aca="false">IF(L$4="运营",L$3-0_参数!$C$9,0)</f>
        <v>8</v>
      </c>
      <c r="M5" s="64" t="n">
        <f aca="false">IF(M$4="运营",M$3-0_参数!$C$9,0)</f>
        <v>9</v>
      </c>
      <c r="N5" s="64" t="n">
        <f aca="false">IF(N$4="运营",N$3-0_参数!$C$9,0)</f>
        <v>10</v>
      </c>
      <c r="O5" s="64" t="n">
        <f aca="false">IF(O$4="运营",O$3-0_参数!$C$9,0)</f>
        <v>0</v>
      </c>
      <c r="P5" s="64" t="n">
        <f aca="false">IF(P$4="运营",P$3-0_参数!$C$9,0)</f>
        <v>0</v>
      </c>
      <c r="Q5" s="64" t="n">
        <f aca="false">IF(Q$4="运营",Q$3-0_参数!$C$9,0)</f>
        <v>0</v>
      </c>
      <c r="R5" s="64" t="n">
        <f aca="false">IF(R$4="运营",R$3-0_参数!$C$9,0)</f>
        <v>0</v>
      </c>
      <c r="S5" s="64" t="n">
        <f aca="false">IF(S$4="运营",S$3-0_参数!$C$9,0)</f>
        <v>0</v>
      </c>
      <c r="T5" s="64" t="n">
        <f aca="false">IF(T$4="运营",T$3-0_参数!$C$9,0)</f>
        <v>0</v>
      </c>
      <c r="U5" s="64" t="n">
        <f aca="false">IF(U$4="运营",U$3-0_参数!$C$9,0)</f>
        <v>0</v>
      </c>
      <c r="V5" s="62"/>
    </row>
    <row r="6" customFormat="false" ht="15" hidden="false" customHeight="false" outlineLevel="0" collapsed="false">
      <c r="A6" s="62"/>
      <c r="B6" s="27" t="s">
        <v>616</v>
      </c>
      <c r="C6" s="62"/>
      <c r="D6" s="65" t="n">
        <f aca="false">IF(D$4="建设",D$3,0)</f>
        <v>1</v>
      </c>
      <c r="E6" s="65" t="n">
        <f aca="false">IF(E$4="建设",E$3,0)</f>
        <v>0</v>
      </c>
      <c r="F6" s="65" t="n">
        <f aca="false">IF(F$4="建设",F$3,0)</f>
        <v>0</v>
      </c>
      <c r="G6" s="65" t="n">
        <f aca="false">IF(G$4="建设",G$3,0)</f>
        <v>0</v>
      </c>
      <c r="H6" s="65" t="n">
        <f aca="false">IF(H$4="建设",H$3,0)</f>
        <v>0</v>
      </c>
      <c r="I6" s="65" t="n">
        <f aca="false">IF(I$4="建设",I$3,0)</f>
        <v>0</v>
      </c>
      <c r="J6" s="65" t="n">
        <f aca="false">IF(J$4="建设",J$3,0)</f>
        <v>0</v>
      </c>
      <c r="K6" s="65" t="n">
        <f aca="false">IF(K$4="建设",K$3,0)</f>
        <v>0</v>
      </c>
      <c r="L6" s="65" t="n">
        <f aca="false">IF(L$4="建设",L$3,0)</f>
        <v>0</v>
      </c>
      <c r="M6" s="65" t="n">
        <f aca="false">IF(M$4="建设",M$3,0)</f>
        <v>0</v>
      </c>
      <c r="N6" s="65" t="n">
        <f aca="false">IF(N$4="建设",N$3,0)</f>
        <v>0</v>
      </c>
      <c r="O6" s="65" t="n">
        <f aca="false">IF(O$4="建设",O$3,0)</f>
        <v>0</v>
      </c>
      <c r="P6" s="65" t="n">
        <f aca="false">IF(P$4="建设",P$3,0)</f>
        <v>0</v>
      </c>
      <c r="Q6" s="65" t="n">
        <f aca="false">IF(Q$4="建设",Q$3,0)</f>
        <v>0</v>
      </c>
      <c r="R6" s="65" t="n">
        <f aca="false">IF(R$4="建设",R$3,0)</f>
        <v>0</v>
      </c>
      <c r="S6" s="65" t="n">
        <f aca="false">IF(S$4="建设",S$3,0)</f>
        <v>0</v>
      </c>
      <c r="T6" s="65" t="n">
        <f aca="false">IF(T$4="建设",T$3,0)</f>
        <v>0</v>
      </c>
      <c r="U6" s="65" t="n">
        <f aca="false">IF(U$4="建设",U$3,0)</f>
        <v>0</v>
      </c>
      <c r="V6" s="62"/>
    </row>
    <row r="7" customFormat="false" ht="15" hidden="false" customHeight="false" outlineLevel="0" collapsed="false">
      <c r="A7" s="13" t="s">
        <v>765</v>
      </c>
      <c r="B7" s="14" t="s">
        <v>710</v>
      </c>
      <c r="C7" s="14" t="s">
        <v>95</v>
      </c>
      <c r="D7" s="20" t="n">
        <f aca="false">6_收入税金!D$11</f>
        <v>0</v>
      </c>
      <c r="E7" s="20" t="n">
        <f aca="false">6_收入税金!E$11</f>
        <v>21301.1320754717</v>
      </c>
      <c r="F7" s="20" t="n">
        <f aca="false">6_收入税金!F$11</f>
        <v>23963.7735849057</v>
      </c>
      <c r="G7" s="20" t="n">
        <f aca="false">6_收入税金!G$11</f>
        <v>23963.7735849057</v>
      </c>
      <c r="H7" s="20" t="n">
        <f aca="false">6_收入税金!H$11</f>
        <v>23963.7735849057</v>
      </c>
      <c r="I7" s="20" t="n">
        <f aca="false">6_收入税金!I$11</f>
        <v>23963.7735849057</v>
      </c>
      <c r="J7" s="20" t="n">
        <f aca="false">6_收入税金!J$11</f>
        <v>23963.7735849057</v>
      </c>
      <c r="K7" s="20" t="n">
        <f aca="false">6_收入税金!K$11</f>
        <v>23963.7735849057</v>
      </c>
      <c r="L7" s="20" t="n">
        <f aca="false">6_收入税金!L$11</f>
        <v>23963.7735849057</v>
      </c>
      <c r="M7" s="20" t="n">
        <f aca="false">6_收入税金!M$11</f>
        <v>23963.7735849057</v>
      </c>
      <c r="N7" s="20" t="n">
        <f aca="false">6_收入税金!N$11</f>
        <v>23963.7735849057</v>
      </c>
      <c r="O7" s="20" t="n">
        <f aca="false">6_收入税金!O$11</f>
        <v>0</v>
      </c>
      <c r="P7" s="20" t="n">
        <f aca="false">6_收入税金!P$11</f>
        <v>0</v>
      </c>
      <c r="Q7" s="20" t="n">
        <f aca="false">6_收入税金!Q$11</f>
        <v>0</v>
      </c>
      <c r="R7" s="20" t="n">
        <f aca="false">6_收入税金!R$11</f>
        <v>0</v>
      </c>
      <c r="S7" s="20" t="n">
        <f aca="false">6_收入税金!S$11</f>
        <v>0</v>
      </c>
      <c r="T7" s="20" t="n">
        <f aca="false">6_收入税金!T$11</f>
        <v>0</v>
      </c>
      <c r="U7" s="20" t="n">
        <f aca="false">6_收入税金!U$11</f>
        <v>0</v>
      </c>
      <c r="V7" s="46" t="n">
        <f aca="false">SUM(D7:U7)</f>
        <v>236975.094339623</v>
      </c>
    </row>
    <row r="8" customFormat="false" ht="15" hidden="false" customHeight="false" outlineLevel="0" collapsed="false">
      <c r="A8" s="13" t="s">
        <v>766</v>
      </c>
      <c r="B8" s="14" t="s">
        <v>711</v>
      </c>
      <c r="C8" s="14" t="s">
        <v>95</v>
      </c>
      <c r="D8" s="20" t="n">
        <f aca="false">6_收入税金!D$12</f>
        <v>0</v>
      </c>
      <c r="E8" s="20" t="n">
        <f aca="false">6_收入税金!E$12</f>
        <v>1278.0679245283</v>
      </c>
      <c r="F8" s="20" t="n">
        <f aca="false">6_收入税金!F$12</f>
        <v>1437.82641509434</v>
      </c>
      <c r="G8" s="20" t="n">
        <f aca="false">6_收入税金!G$12</f>
        <v>1437.82641509434</v>
      </c>
      <c r="H8" s="20" t="n">
        <f aca="false">6_收入税金!H$12</f>
        <v>1437.82641509434</v>
      </c>
      <c r="I8" s="20" t="n">
        <f aca="false">6_收入税金!I$12</f>
        <v>1437.82641509434</v>
      </c>
      <c r="J8" s="20" t="n">
        <f aca="false">6_收入税金!J$12</f>
        <v>1437.82641509434</v>
      </c>
      <c r="K8" s="20" t="n">
        <f aca="false">6_收入税金!K$12</f>
        <v>1437.82641509434</v>
      </c>
      <c r="L8" s="20" t="n">
        <f aca="false">6_收入税金!L$12</f>
        <v>1437.82641509434</v>
      </c>
      <c r="M8" s="20" t="n">
        <f aca="false">6_收入税金!M$12</f>
        <v>1437.82641509434</v>
      </c>
      <c r="N8" s="20" t="n">
        <f aca="false">6_收入税金!N$12</f>
        <v>1437.82641509434</v>
      </c>
      <c r="O8" s="20" t="n">
        <f aca="false">6_收入税金!O$12</f>
        <v>0</v>
      </c>
      <c r="P8" s="20" t="n">
        <f aca="false">6_收入税金!P$12</f>
        <v>0</v>
      </c>
      <c r="Q8" s="20" t="n">
        <f aca="false">6_收入税金!Q$12</f>
        <v>0</v>
      </c>
      <c r="R8" s="20" t="n">
        <f aca="false">6_收入税金!R$12</f>
        <v>0</v>
      </c>
      <c r="S8" s="20" t="n">
        <f aca="false">6_收入税金!S$12</f>
        <v>0</v>
      </c>
      <c r="T8" s="20" t="n">
        <f aca="false">6_收入税金!T$12</f>
        <v>0</v>
      </c>
      <c r="U8" s="20" t="n">
        <f aca="false">6_收入税金!U$12</f>
        <v>0</v>
      </c>
      <c r="V8" s="46" t="n">
        <f aca="false">SUM(D8:U8)</f>
        <v>14218.5056603774</v>
      </c>
    </row>
    <row r="9" customFormat="false" ht="15" hidden="false" customHeight="false" outlineLevel="0" collapsed="false">
      <c r="A9" s="13" t="s">
        <v>767</v>
      </c>
      <c r="B9" s="14" t="s">
        <v>721</v>
      </c>
      <c r="C9" s="14" t="s">
        <v>95</v>
      </c>
      <c r="D9" s="20" t="n">
        <f aca="false">7_利润!D$10</f>
        <v>0</v>
      </c>
      <c r="E9" s="20" t="n">
        <f aca="false">7_利润!E$10</f>
        <v>0</v>
      </c>
      <c r="F9" s="20" t="n">
        <f aca="false">7_利润!F$10</f>
        <v>0</v>
      </c>
      <c r="G9" s="20" t="n">
        <f aca="false">7_利润!G$10</f>
        <v>0</v>
      </c>
      <c r="H9" s="20" t="n">
        <f aca="false">7_利润!H$10</f>
        <v>0</v>
      </c>
      <c r="I9" s="20" t="n">
        <f aca="false">7_利润!I$10</f>
        <v>0</v>
      </c>
      <c r="J9" s="20" t="n">
        <f aca="false">7_利润!J$10</f>
        <v>0</v>
      </c>
      <c r="K9" s="20" t="n">
        <f aca="false">7_利润!K$10</f>
        <v>0</v>
      </c>
      <c r="L9" s="20" t="n">
        <f aca="false">7_利润!L$10</f>
        <v>0</v>
      </c>
      <c r="M9" s="20" t="n">
        <f aca="false">7_利润!M$10</f>
        <v>0</v>
      </c>
      <c r="N9" s="20" t="n">
        <f aca="false">7_利润!N$10</f>
        <v>0</v>
      </c>
      <c r="O9" s="20" t="n">
        <f aca="false">7_利润!O$10</f>
        <v>0</v>
      </c>
      <c r="P9" s="20" t="n">
        <f aca="false">7_利润!P$10</f>
        <v>0</v>
      </c>
      <c r="Q9" s="20" t="n">
        <f aca="false">7_利润!Q$10</f>
        <v>0</v>
      </c>
      <c r="R9" s="20" t="n">
        <f aca="false">7_利润!R$10</f>
        <v>0</v>
      </c>
      <c r="S9" s="20" t="n">
        <f aca="false">7_利润!S$10</f>
        <v>0</v>
      </c>
      <c r="T9" s="20" t="n">
        <f aca="false">7_利润!T$10</f>
        <v>0</v>
      </c>
      <c r="U9" s="20" t="n">
        <f aca="false">7_利润!U$10</f>
        <v>0</v>
      </c>
      <c r="V9" s="46" t="n">
        <f aca="false">SUM(D9:U9)</f>
        <v>0</v>
      </c>
    </row>
    <row r="10" customFormat="false" ht="15" hidden="false" customHeight="false" outlineLevel="0" collapsed="false">
      <c r="A10" s="13" t="s">
        <v>32</v>
      </c>
      <c r="B10" s="54" t="s">
        <v>768</v>
      </c>
      <c r="C10" s="14" t="s">
        <v>95</v>
      </c>
      <c r="D10" s="55" t="n">
        <f aca="false">D7+D8+D9</f>
        <v>0</v>
      </c>
      <c r="E10" s="55" t="n">
        <f aca="false">E7+E8+E9</f>
        <v>22579.2</v>
      </c>
      <c r="F10" s="55" t="n">
        <f aca="false">F7+F8+F9</f>
        <v>25401.6</v>
      </c>
      <c r="G10" s="55" t="n">
        <f aca="false">G7+G8+G9</f>
        <v>25401.6</v>
      </c>
      <c r="H10" s="55" t="n">
        <f aca="false">H7+H8+H9</f>
        <v>25401.6</v>
      </c>
      <c r="I10" s="55" t="n">
        <f aca="false">I7+I8+I9</f>
        <v>25401.6</v>
      </c>
      <c r="J10" s="55" t="n">
        <f aca="false">J7+J8+J9</f>
        <v>25401.6</v>
      </c>
      <c r="K10" s="55" t="n">
        <f aca="false">K7+K8+K9</f>
        <v>25401.6</v>
      </c>
      <c r="L10" s="55" t="n">
        <f aca="false">L7+L8+L9</f>
        <v>25401.6</v>
      </c>
      <c r="M10" s="55" t="n">
        <f aca="false">M7+M8+M9</f>
        <v>25401.6</v>
      </c>
      <c r="N10" s="55" t="n">
        <f aca="false">N7+N8+N9</f>
        <v>25401.6</v>
      </c>
      <c r="O10" s="55" t="n">
        <f aca="false">O7+O8+O9</f>
        <v>0</v>
      </c>
      <c r="P10" s="55" t="n">
        <f aca="false">P7+P8+P9</f>
        <v>0</v>
      </c>
      <c r="Q10" s="55" t="n">
        <f aca="false">Q7+Q8+Q9</f>
        <v>0</v>
      </c>
      <c r="R10" s="55" t="n">
        <f aca="false">R7+R8+R9</f>
        <v>0</v>
      </c>
      <c r="S10" s="55" t="n">
        <f aca="false">S7+S8+S9</f>
        <v>0</v>
      </c>
      <c r="T10" s="55" t="n">
        <f aca="false">T7+T8+T9</f>
        <v>0</v>
      </c>
      <c r="U10" s="55" t="n">
        <f aca="false">U7+U8+U9</f>
        <v>0</v>
      </c>
      <c r="V10" s="55" t="n">
        <f aca="false">SUM(D10:U10)</f>
        <v>251193.6</v>
      </c>
    </row>
    <row r="11" customFormat="false" ht="15" hidden="false" customHeight="false" outlineLevel="0" collapsed="false">
      <c r="A11" s="13" t="s">
        <v>769</v>
      </c>
      <c r="B11" s="14" t="s">
        <v>741</v>
      </c>
      <c r="C11" s="14" t="s">
        <v>95</v>
      </c>
      <c r="D11" s="20" t="n">
        <f aca="false">4_总成本费用!D$23</f>
        <v>0</v>
      </c>
      <c r="E11" s="20" t="n">
        <f aca="false">4_总成本费用!E$23</f>
        <v>3079.7316300091</v>
      </c>
      <c r="F11" s="20" t="n">
        <f aca="false">4_总成本费用!F$23</f>
        <v>3157.97663220379</v>
      </c>
      <c r="G11" s="20" t="n">
        <f aca="false">4_总成本费用!G$23</f>
        <v>3157.97663220379</v>
      </c>
      <c r="H11" s="20" t="n">
        <f aca="false">4_总成本费用!H$23</f>
        <v>4047.12757560001</v>
      </c>
      <c r="I11" s="20" t="n">
        <f aca="false">4_总成本费用!I$23</f>
        <v>4047.12757560001</v>
      </c>
      <c r="J11" s="20" t="n">
        <f aca="false">4_总成本费用!J$23</f>
        <v>4047.12757560001</v>
      </c>
      <c r="K11" s="20" t="n">
        <f aca="false">4_总成本费用!K$23</f>
        <v>4936.27851899624</v>
      </c>
      <c r="L11" s="20" t="n">
        <f aca="false">4_总成本费用!L$23</f>
        <v>4936.27851899624</v>
      </c>
      <c r="M11" s="20" t="n">
        <f aca="false">4_总成本费用!M$23</f>
        <v>4936.27851899624</v>
      </c>
      <c r="N11" s="20" t="n">
        <f aca="false">4_总成本费用!N$23</f>
        <v>4936.27851899624</v>
      </c>
      <c r="O11" s="20" t="n">
        <f aca="false">4_总成本费用!O$23</f>
        <v>0</v>
      </c>
      <c r="P11" s="20" t="n">
        <f aca="false">4_总成本费用!P$23</f>
        <v>0</v>
      </c>
      <c r="Q11" s="20" t="n">
        <f aca="false">4_总成本费用!Q$23</f>
        <v>0</v>
      </c>
      <c r="R11" s="20" t="n">
        <f aca="false">4_总成本费用!R$23</f>
        <v>0</v>
      </c>
      <c r="S11" s="20" t="n">
        <f aca="false">4_总成本费用!S$23</f>
        <v>0</v>
      </c>
      <c r="T11" s="20" t="n">
        <f aca="false">4_总成本费用!T$23</f>
        <v>0</v>
      </c>
      <c r="U11" s="20" t="n">
        <f aca="false">4_总成本费用!U$23</f>
        <v>0</v>
      </c>
      <c r="V11" s="46" t="n">
        <f aca="false">SUM(D11:U11)</f>
        <v>41282.1816972017</v>
      </c>
    </row>
    <row r="12" customFormat="false" ht="15" hidden="false" customHeight="false" outlineLevel="0" collapsed="false">
      <c r="A12" s="13" t="s">
        <v>770</v>
      </c>
      <c r="B12" s="14" t="s">
        <v>712</v>
      </c>
      <c r="C12" s="14" t="s">
        <v>95</v>
      </c>
      <c r="D12" s="20" t="n">
        <f aca="false">6_收入税金!D$13</f>
        <v>0</v>
      </c>
      <c r="E12" s="20" t="n">
        <f aca="false">6_收入税金!E$13</f>
        <v>192.666589830904</v>
      </c>
      <c r="F12" s="20" t="n">
        <f aca="false">6_收入税金!F$13</f>
        <v>202.838440116214</v>
      </c>
      <c r="G12" s="20" t="n">
        <f aca="false">6_收入税金!G$13</f>
        <v>202.838440116214</v>
      </c>
      <c r="H12" s="20" t="n">
        <f aca="false">6_收入税金!H$13</f>
        <v>256.187496719987</v>
      </c>
      <c r="I12" s="20" t="n">
        <f aca="false">6_收入税金!I$13</f>
        <v>256.187496719987</v>
      </c>
      <c r="J12" s="20" t="n">
        <f aca="false">6_收入税金!J$13</f>
        <v>256.187496719987</v>
      </c>
      <c r="K12" s="20" t="n">
        <f aca="false">6_收入税金!K$13</f>
        <v>309.536553323761</v>
      </c>
      <c r="L12" s="20" t="n">
        <f aca="false">6_收入税金!L$13</f>
        <v>309.536553323761</v>
      </c>
      <c r="M12" s="20" t="n">
        <f aca="false">6_收入税金!M$13</f>
        <v>309.536553323761</v>
      </c>
      <c r="N12" s="20" t="n">
        <f aca="false">6_收入税金!N$13</f>
        <v>309.536553323761</v>
      </c>
      <c r="O12" s="20" t="n">
        <f aca="false">6_收入税金!O$13</f>
        <v>0</v>
      </c>
      <c r="P12" s="20" t="n">
        <f aca="false">6_收入税金!P$13</f>
        <v>0</v>
      </c>
      <c r="Q12" s="20" t="n">
        <f aca="false">6_收入税金!Q$13</f>
        <v>0</v>
      </c>
      <c r="R12" s="20" t="n">
        <f aca="false">6_收入税金!R$13</f>
        <v>0</v>
      </c>
      <c r="S12" s="20" t="n">
        <f aca="false">6_收入税金!S$13</f>
        <v>0</v>
      </c>
      <c r="T12" s="20" t="n">
        <f aca="false">6_收入税金!T$13</f>
        <v>0</v>
      </c>
      <c r="U12" s="20" t="n">
        <f aca="false">6_收入税金!U$13</f>
        <v>0</v>
      </c>
      <c r="V12" s="46" t="n">
        <f aca="false">SUM(D12:U12)</f>
        <v>2605.05217351834</v>
      </c>
    </row>
    <row r="13" customFormat="false" ht="15" hidden="false" customHeight="false" outlineLevel="0" collapsed="false">
      <c r="A13" s="13" t="s">
        <v>771</v>
      </c>
      <c r="B13" s="14" t="s">
        <v>719</v>
      </c>
      <c r="C13" s="14" t="s">
        <v>95</v>
      </c>
      <c r="D13" s="20" t="n">
        <f aca="false">6_收入税金!D$17</f>
        <v>0</v>
      </c>
      <c r="E13" s="20" t="n">
        <f aca="false">6_收入税金!E$17</f>
        <v>0</v>
      </c>
      <c r="F13" s="20" t="n">
        <f aca="false">6_收入税金!F$17</f>
        <v>0</v>
      </c>
      <c r="G13" s="20" t="n">
        <f aca="false">6_收入税金!G$17</f>
        <v>0</v>
      </c>
      <c r="H13" s="20" t="n">
        <f aca="false">6_收入税金!H$17</f>
        <v>0</v>
      </c>
      <c r="I13" s="20" t="n">
        <f aca="false">6_收入税金!I$17</f>
        <v>0</v>
      </c>
      <c r="J13" s="20" t="n">
        <f aca="false">6_收入税金!J$17</f>
        <v>0</v>
      </c>
      <c r="K13" s="20" t="n">
        <f aca="false">6_收入税金!K$17</f>
        <v>0</v>
      </c>
      <c r="L13" s="20" t="n">
        <f aca="false">6_收入税金!L$17</f>
        <v>0</v>
      </c>
      <c r="M13" s="20" t="n">
        <f aca="false">6_收入税金!M$17</f>
        <v>0</v>
      </c>
      <c r="N13" s="20" t="n">
        <f aca="false">6_收入税金!N$17</f>
        <v>0</v>
      </c>
      <c r="O13" s="20" t="n">
        <f aca="false">6_收入税金!O$17</f>
        <v>0</v>
      </c>
      <c r="P13" s="20" t="n">
        <f aca="false">6_收入税金!P$17</f>
        <v>0</v>
      </c>
      <c r="Q13" s="20" t="n">
        <f aca="false">6_收入税金!Q$17</f>
        <v>0</v>
      </c>
      <c r="R13" s="20" t="n">
        <f aca="false">6_收入税金!R$17</f>
        <v>0</v>
      </c>
      <c r="S13" s="20" t="n">
        <f aca="false">6_收入税金!S$17</f>
        <v>0</v>
      </c>
      <c r="T13" s="20" t="n">
        <f aca="false">6_收入税金!T$17</f>
        <v>0</v>
      </c>
      <c r="U13" s="20" t="n">
        <f aca="false">6_收入税金!U$17</f>
        <v>0</v>
      </c>
      <c r="V13" s="46" t="n">
        <f aca="false">SUM(D13:U13)</f>
        <v>0</v>
      </c>
    </row>
    <row r="14" customFormat="false" ht="15" hidden="false" customHeight="false" outlineLevel="0" collapsed="false">
      <c r="A14" s="13" t="s">
        <v>772</v>
      </c>
      <c r="B14" s="14" t="s">
        <v>714</v>
      </c>
      <c r="C14" s="14" t="s">
        <v>95</v>
      </c>
      <c r="D14" s="20" t="n">
        <f aca="false">6_收入税金!D$15</f>
        <v>0</v>
      </c>
      <c r="E14" s="20" t="n">
        <f aca="false">6_收入税金!E$15</f>
        <v>0</v>
      </c>
      <c r="F14" s="20" t="n">
        <f aca="false">6_收入税金!F$15</f>
        <v>0</v>
      </c>
      <c r="G14" s="20" t="n">
        <f aca="false">6_收入税金!G$15</f>
        <v>0</v>
      </c>
      <c r="H14" s="20" t="n">
        <f aca="false">6_收入税金!H$15</f>
        <v>0</v>
      </c>
      <c r="I14" s="20" t="n">
        <f aca="false">6_收入税金!I$15</f>
        <v>0</v>
      </c>
      <c r="J14" s="20" t="n">
        <f aca="false">6_收入税金!J$15</f>
        <v>0</v>
      </c>
      <c r="K14" s="20" t="n">
        <f aca="false">6_收入税金!K$15</f>
        <v>0</v>
      </c>
      <c r="L14" s="20" t="n">
        <f aca="false">6_收入税金!L$15</f>
        <v>0</v>
      </c>
      <c r="M14" s="20" t="n">
        <f aca="false">6_收入税金!M$15</f>
        <v>0</v>
      </c>
      <c r="N14" s="20" t="n">
        <f aca="false">6_收入税金!N$15</f>
        <v>0</v>
      </c>
      <c r="O14" s="20" t="n">
        <f aca="false">6_收入税金!O$15</f>
        <v>0</v>
      </c>
      <c r="P14" s="20" t="n">
        <f aca="false">6_收入税金!P$15</f>
        <v>0</v>
      </c>
      <c r="Q14" s="20" t="n">
        <f aca="false">6_收入税金!Q$15</f>
        <v>0</v>
      </c>
      <c r="R14" s="20" t="n">
        <f aca="false">6_收入税金!R$15</f>
        <v>0</v>
      </c>
      <c r="S14" s="20" t="n">
        <f aca="false">6_收入税金!S$15</f>
        <v>0</v>
      </c>
      <c r="T14" s="20" t="n">
        <f aca="false">6_收入税金!T$15</f>
        <v>0</v>
      </c>
      <c r="U14" s="20" t="n">
        <f aca="false">6_收入税金!U$15</f>
        <v>0</v>
      </c>
      <c r="V14" s="46" t="n">
        <f aca="false">SUM(D14:U14)</f>
        <v>0</v>
      </c>
    </row>
    <row r="15" customFormat="false" ht="15" hidden="false" customHeight="false" outlineLevel="0" collapsed="false">
      <c r="A15" s="13" t="s">
        <v>773</v>
      </c>
      <c r="B15" s="14" t="s">
        <v>725</v>
      </c>
      <c r="C15" s="14" t="s">
        <v>95</v>
      </c>
      <c r="D15" s="20" t="n">
        <f aca="false">7_利润!D$14</f>
        <v>0</v>
      </c>
      <c r="E15" s="20" t="n">
        <f aca="false">7_利润!E$14</f>
        <v>0</v>
      </c>
      <c r="F15" s="20" t="n">
        <f aca="false">7_利润!F$14</f>
        <v>0</v>
      </c>
      <c r="G15" s="20" t="n">
        <f aca="false">7_利润!G$14</f>
        <v>0</v>
      </c>
      <c r="H15" s="20" t="n">
        <f aca="false">7_利润!H$14</f>
        <v>0</v>
      </c>
      <c r="I15" s="20" t="n">
        <f aca="false">7_利润!I$14</f>
        <v>0</v>
      </c>
      <c r="J15" s="20" t="n">
        <f aca="false">7_利润!J$14</f>
        <v>2290.08724594514</v>
      </c>
      <c r="K15" s="20" t="n">
        <f aca="false">7_利润!K$14</f>
        <v>4184.610536153</v>
      </c>
      <c r="L15" s="20" t="n">
        <f aca="false">7_利润!L$14</f>
        <v>4262.57548201694</v>
      </c>
      <c r="M15" s="20" t="n">
        <f aca="false">7_利润!M$14</f>
        <v>4340.54042788088</v>
      </c>
      <c r="N15" s="20" t="n">
        <f aca="false">7_利润!N$14</f>
        <v>4418.50537374481</v>
      </c>
      <c r="O15" s="20" t="n">
        <f aca="false">7_利润!O$14</f>
        <v>0</v>
      </c>
      <c r="P15" s="20" t="n">
        <f aca="false">7_利润!P$14</f>
        <v>0</v>
      </c>
      <c r="Q15" s="20" t="n">
        <f aca="false">7_利润!Q$14</f>
        <v>0</v>
      </c>
      <c r="R15" s="20" t="n">
        <f aca="false">7_利润!R$14</f>
        <v>0</v>
      </c>
      <c r="S15" s="20" t="n">
        <f aca="false">7_利润!S$14</f>
        <v>0</v>
      </c>
      <c r="T15" s="20" t="n">
        <f aca="false">7_利润!T$14</f>
        <v>0</v>
      </c>
      <c r="U15" s="20" t="n">
        <f aca="false">7_利润!U$14</f>
        <v>0</v>
      </c>
      <c r="V15" s="46" t="n">
        <f aca="false">SUM(D15:U15)</f>
        <v>19496.3190657408</v>
      </c>
    </row>
    <row r="16" customFormat="false" ht="15" hidden="false" customHeight="false" outlineLevel="0" collapsed="false">
      <c r="A16" s="13" t="s">
        <v>36</v>
      </c>
      <c r="B16" s="54" t="s">
        <v>774</v>
      </c>
      <c r="C16" s="14" t="s">
        <v>95</v>
      </c>
      <c r="D16" s="55" t="n">
        <f aca="false">SUM(D11:D15)</f>
        <v>0</v>
      </c>
      <c r="E16" s="55" t="n">
        <f aca="false">SUM(E11:E15)</f>
        <v>3272.39821984</v>
      </c>
      <c r="F16" s="55" t="n">
        <f aca="false">SUM(F11:F15)</f>
        <v>3360.81507232</v>
      </c>
      <c r="G16" s="55" t="n">
        <f aca="false">SUM(G11:G15)</f>
        <v>3360.81507232</v>
      </c>
      <c r="H16" s="55" t="n">
        <f aca="false">SUM(H11:H15)</f>
        <v>4303.31507232</v>
      </c>
      <c r="I16" s="55" t="n">
        <f aca="false">SUM(I11:I15)</f>
        <v>4303.31507232</v>
      </c>
      <c r="J16" s="55" t="n">
        <f aca="false">SUM(J11:J15)</f>
        <v>6593.40231826514</v>
      </c>
      <c r="K16" s="55" t="n">
        <f aca="false">SUM(K11:K15)</f>
        <v>9430.425608473</v>
      </c>
      <c r="L16" s="55" t="n">
        <f aca="false">SUM(L11:L15)</f>
        <v>9508.39055433694</v>
      </c>
      <c r="M16" s="55" t="n">
        <f aca="false">SUM(M11:M15)</f>
        <v>9586.35550020088</v>
      </c>
      <c r="N16" s="55" t="n">
        <f aca="false">SUM(N11:N15)</f>
        <v>9664.32044606481</v>
      </c>
      <c r="O16" s="55" t="n">
        <f aca="false">SUM(O11:O15)</f>
        <v>0</v>
      </c>
      <c r="P16" s="55" t="n">
        <f aca="false">SUM(P11:P15)</f>
        <v>0</v>
      </c>
      <c r="Q16" s="55" t="n">
        <f aca="false">SUM(Q11:Q15)</f>
        <v>0</v>
      </c>
      <c r="R16" s="55" t="n">
        <f aca="false">SUM(R11:R15)</f>
        <v>0</v>
      </c>
      <c r="S16" s="55" t="n">
        <f aca="false">SUM(S11:S15)</f>
        <v>0</v>
      </c>
      <c r="T16" s="55" t="n">
        <f aca="false">SUM(T11:T15)</f>
        <v>0</v>
      </c>
      <c r="U16" s="55" t="n">
        <f aca="false">SUM(U11:U15)</f>
        <v>0</v>
      </c>
      <c r="V16" s="55" t="n">
        <f aca="false">SUM(D16:U16)</f>
        <v>63383.5529364608</v>
      </c>
    </row>
    <row r="17" customFormat="false" ht="15" hidden="false" customHeight="false" outlineLevel="0" collapsed="false">
      <c r="A17" s="66" t="s">
        <v>30</v>
      </c>
      <c r="B17" s="50" t="s">
        <v>775</v>
      </c>
      <c r="C17" s="49" t="s">
        <v>95</v>
      </c>
      <c r="D17" s="51" t="n">
        <f aca="false">D10-D16</f>
        <v>0</v>
      </c>
      <c r="E17" s="51" t="n">
        <f aca="false">E10-E16</f>
        <v>19306.80178016</v>
      </c>
      <c r="F17" s="51" t="n">
        <f aca="false">F10-F16</f>
        <v>22040.78492768</v>
      </c>
      <c r="G17" s="51" t="n">
        <f aca="false">G10-G16</f>
        <v>22040.78492768</v>
      </c>
      <c r="H17" s="51" t="n">
        <f aca="false">H10-H16</f>
        <v>21098.28492768</v>
      </c>
      <c r="I17" s="51" t="n">
        <f aca="false">I10-I16</f>
        <v>21098.28492768</v>
      </c>
      <c r="J17" s="51" t="n">
        <f aca="false">J10-J16</f>
        <v>18808.1976817349</v>
      </c>
      <c r="K17" s="51" t="n">
        <f aca="false">K10-K16</f>
        <v>15971.174391527</v>
      </c>
      <c r="L17" s="51" t="n">
        <f aca="false">L10-L16</f>
        <v>15893.2094456631</v>
      </c>
      <c r="M17" s="51" t="n">
        <f aca="false">M10-M16</f>
        <v>15815.2444997991</v>
      </c>
      <c r="N17" s="51" t="n">
        <f aca="false">N10-N16</f>
        <v>15737.2795539352</v>
      </c>
      <c r="O17" s="51" t="n">
        <f aca="false">O10-O16</f>
        <v>0</v>
      </c>
      <c r="P17" s="51" t="n">
        <f aca="false">P10-P16</f>
        <v>0</v>
      </c>
      <c r="Q17" s="51" t="n">
        <f aca="false">Q10-Q16</f>
        <v>0</v>
      </c>
      <c r="R17" s="51" t="n">
        <f aca="false">R10-R16</f>
        <v>0</v>
      </c>
      <c r="S17" s="51" t="n">
        <f aca="false">S10-S16</f>
        <v>0</v>
      </c>
      <c r="T17" s="51" t="n">
        <f aca="false">T10-T16</f>
        <v>0</v>
      </c>
      <c r="U17" s="51" t="n">
        <f aca="false">U10-U16</f>
        <v>0</v>
      </c>
      <c r="V17" s="51" t="n">
        <f aca="false">SUM(D17:U17)</f>
        <v>187810.047063539</v>
      </c>
    </row>
    <row r="18" customFormat="false" ht="15" hidden="false" customHeight="false" outlineLevel="0" collapsed="false">
      <c r="A18" s="13" t="s">
        <v>58</v>
      </c>
      <c r="B18" s="14" t="s">
        <v>633</v>
      </c>
      <c r="C18" s="14" t="s">
        <v>95</v>
      </c>
      <c r="D18" s="20" t="n">
        <f aca="false">3_资金筹措!D$8</f>
        <v>122417.006061</v>
      </c>
      <c r="E18" s="20" t="n">
        <f aca="false">3_资金筹措!E$8</f>
        <v>0</v>
      </c>
      <c r="F18" s="20" t="n">
        <f aca="false">3_资金筹措!F$8</f>
        <v>0</v>
      </c>
      <c r="G18" s="20" t="n">
        <f aca="false">3_资金筹措!G$8</f>
        <v>0</v>
      </c>
      <c r="H18" s="20" t="n">
        <f aca="false">3_资金筹措!H$8</f>
        <v>0</v>
      </c>
      <c r="I18" s="20" t="n">
        <f aca="false">3_资金筹措!I$8</f>
        <v>0</v>
      </c>
      <c r="J18" s="20" t="n">
        <f aca="false">3_资金筹措!J$8</f>
        <v>0</v>
      </c>
      <c r="K18" s="20" t="n">
        <f aca="false">3_资金筹措!K$8</f>
        <v>0</v>
      </c>
      <c r="L18" s="20" t="n">
        <f aca="false">3_资金筹措!L$8</f>
        <v>0</v>
      </c>
      <c r="M18" s="20" t="n">
        <f aca="false">3_资金筹措!M$8</f>
        <v>0</v>
      </c>
      <c r="N18" s="20" t="n">
        <f aca="false">3_资金筹措!N$8</f>
        <v>0</v>
      </c>
      <c r="O18" s="20" t="n">
        <f aca="false">3_资金筹措!O$8</f>
        <v>0</v>
      </c>
      <c r="P18" s="20" t="n">
        <f aca="false">3_资金筹措!P$8</f>
        <v>0</v>
      </c>
      <c r="Q18" s="20" t="n">
        <f aca="false">3_资金筹措!Q$8</f>
        <v>0</v>
      </c>
      <c r="R18" s="20" t="n">
        <f aca="false">3_资金筹措!R$8</f>
        <v>0</v>
      </c>
      <c r="S18" s="20" t="n">
        <f aca="false">3_资金筹措!S$8</f>
        <v>0</v>
      </c>
      <c r="T18" s="20" t="n">
        <f aca="false">3_资金筹措!T$8</f>
        <v>0</v>
      </c>
      <c r="U18" s="20" t="n">
        <f aca="false">3_资金筹措!U$8</f>
        <v>0</v>
      </c>
      <c r="V18" s="46" t="n">
        <f aca="false">SUM(D18:U18)</f>
        <v>122417.006061</v>
      </c>
    </row>
    <row r="19" customFormat="false" ht="15" hidden="false" customHeight="false" outlineLevel="0" collapsed="false">
      <c r="A19" s="13" t="s">
        <v>61</v>
      </c>
      <c r="B19" s="14" t="s">
        <v>740</v>
      </c>
      <c r="C19" s="14" t="s">
        <v>95</v>
      </c>
      <c r="D19" s="20" t="n">
        <f aca="false">2_流动资金!D$14</f>
        <v>0</v>
      </c>
      <c r="E19" s="20" t="n">
        <f aca="false">2_流动资金!E$14</f>
        <v>1731.85471698113</v>
      </c>
      <c r="F19" s="20" t="n">
        <f aca="false">2_流动资金!F$14</f>
        <v>221.88679245283</v>
      </c>
      <c r="G19" s="20" t="n">
        <f aca="false">2_流动资金!G$14</f>
        <v>0</v>
      </c>
      <c r="H19" s="20" t="n">
        <f aca="false">2_流动资金!H$14</f>
        <v>0</v>
      </c>
      <c r="I19" s="20" t="n">
        <f aca="false">2_流动资金!I$14</f>
        <v>0</v>
      </c>
      <c r="J19" s="20" t="n">
        <f aca="false">2_流动资金!J$14</f>
        <v>0</v>
      </c>
      <c r="K19" s="20" t="n">
        <f aca="false">2_流动资金!K$14</f>
        <v>0</v>
      </c>
      <c r="L19" s="20" t="n">
        <f aca="false">2_流动资金!L$14</f>
        <v>0</v>
      </c>
      <c r="M19" s="20" t="n">
        <f aca="false">2_流动资金!M$14</f>
        <v>0</v>
      </c>
      <c r="N19" s="20" t="n">
        <f aca="false">2_流动资金!N$14</f>
        <v>0</v>
      </c>
      <c r="O19" s="20" t="n">
        <f aca="false">2_流动资金!O$14</f>
        <v>0</v>
      </c>
      <c r="P19" s="20" t="n">
        <f aca="false">2_流动资金!P$14</f>
        <v>0</v>
      </c>
      <c r="Q19" s="20" t="n">
        <f aca="false">2_流动资金!Q$14</f>
        <v>0</v>
      </c>
      <c r="R19" s="20" t="n">
        <f aca="false">2_流动资金!R$14</f>
        <v>0</v>
      </c>
      <c r="S19" s="20" t="n">
        <f aca="false">2_流动资金!S$14</f>
        <v>0</v>
      </c>
      <c r="T19" s="20" t="n">
        <f aca="false">2_流动资金!T$14</f>
        <v>0</v>
      </c>
      <c r="U19" s="20" t="n">
        <f aca="false">2_流动资金!U$14</f>
        <v>0</v>
      </c>
      <c r="V19" s="46" t="n">
        <f aca="false">SUM(D19:U19)</f>
        <v>1953.74150943396</v>
      </c>
    </row>
    <row r="20" customFormat="false" ht="15" hidden="false" customHeight="false" outlineLevel="0" collapsed="false">
      <c r="A20" s="13" t="s">
        <v>65</v>
      </c>
      <c r="B20" s="14" t="s">
        <v>742</v>
      </c>
      <c r="C20" s="14" t="s">
        <v>95</v>
      </c>
      <c r="D20" s="20" t="n">
        <f aca="false">8_现金流量!D$16</f>
        <v>0</v>
      </c>
      <c r="E20" s="20" t="n">
        <f aca="false">8_现金流量!E$16</f>
        <v>0</v>
      </c>
      <c r="F20" s="20" t="n">
        <f aca="false">8_现金流量!F$16</f>
        <v>0</v>
      </c>
      <c r="G20" s="20" t="n">
        <f aca="false">8_现金流量!G$16</f>
        <v>0</v>
      </c>
      <c r="H20" s="20" t="n">
        <f aca="false">8_现金流量!H$16</f>
        <v>0</v>
      </c>
      <c r="I20" s="20" t="n">
        <f aca="false">8_现金流量!I$16</f>
        <v>0</v>
      </c>
      <c r="J20" s="20" t="n">
        <f aca="false">8_现金流量!J$16</f>
        <v>0</v>
      </c>
      <c r="K20" s="20" t="n">
        <f aca="false">8_现金流量!K$16</f>
        <v>0</v>
      </c>
      <c r="L20" s="20" t="n">
        <f aca="false">8_现金流量!L$16</f>
        <v>0</v>
      </c>
      <c r="M20" s="20" t="n">
        <f aca="false">8_现金流量!M$16</f>
        <v>0</v>
      </c>
      <c r="N20" s="20" t="n">
        <f aca="false">8_现金流量!N$16</f>
        <v>0</v>
      </c>
      <c r="O20" s="20" t="n">
        <f aca="false">8_现金流量!O$16</f>
        <v>0</v>
      </c>
      <c r="P20" s="20" t="n">
        <f aca="false">8_现金流量!P$16</f>
        <v>0</v>
      </c>
      <c r="Q20" s="20" t="n">
        <f aca="false">8_现金流量!Q$16</f>
        <v>0</v>
      </c>
      <c r="R20" s="20" t="n">
        <f aca="false">8_现金流量!R$16</f>
        <v>0</v>
      </c>
      <c r="S20" s="20" t="n">
        <f aca="false">8_现金流量!S$16</f>
        <v>0</v>
      </c>
      <c r="T20" s="20" t="n">
        <f aca="false">8_现金流量!T$16</f>
        <v>0</v>
      </c>
      <c r="U20" s="20" t="n">
        <f aca="false">8_现金流量!U$16</f>
        <v>0</v>
      </c>
      <c r="V20" s="46" t="n">
        <f aca="false">SUM(D20:U20)</f>
        <v>0</v>
      </c>
    </row>
    <row r="21" customFormat="false" ht="15" hidden="false" customHeight="false" outlineLevel="0" collapsed="false">
      <c r="A21" s="66" t="s">
        <v>56</v>
      </c>
      <c r="B21" s="50" t="s">
        <v>776</v>
      </c>
      <c r="C21" s="49" t="s">
        <v>95</v>
      </c>
      <c r="D21" s="51" t="n">
        <f aca="false">-(D18+D19+D20)</f>
        <v>-122417.006061</v>
      </c>
      <c r="E21" s="51" t="n">
        <f aca="false">-(E18+E19+E20)</f>
        <v>-1731.85471698113</v>
      </c>
      <c r="F21" s="51" t="n">
        <f aca="false">-(F18+F19+F20)</f>
        <v>-221.88679245283</v>
      </c>
      <c r="G21" s="51" t="n">
        <f aca="false">-(G18+G19+G20)</f>
        <v>-0</v>
      </c>
      <c r="H21" s="51" t="n">
        <f aca="false">-(H18+H19+H20)</f>
        <v>-0</v>
      </c>
      <c r="I21" s="51" t="n">
        <f aca="false">-(I18+I19+I20)</f>
        <v>-0</v>
      </c>
      <c r="J21" s="51" t="n">
        <f aca="false">-(J18+J19+J20)</f>
        <v>-0</v>
      </c>
      <c r="K21" s="51" t="n">
        <f aca="false">-(K18+K19+K20)</f>
        <v>-0</v>
      </c>
      <c r="L21" s="51" t="n">
        <f aca="false">-(L18+L19+L20)</f>
        <v>-0</v>
      </c>
      <c r="M21" s="51" t="n">
        <f aca="false">-(M18+M19+M20)</f>
        <v>-0</v>
      </c>
      <c r="N21" s="51" t="n">
        <f aca="false">-(N18+N19+N20)</f>
        <v>-0</v>
      </c>
      <c r="O21" s="51" t="n">
        <f aca="false">-(O18+O19+O20)</f>
        <v>-0</v>
      </c>
      <c r="P21" s="51" t="n">
        <f aca="false">-(P18+P19+P20)</f>
        <v>-0</v>
      </c>
      <c r="Q21" s="51" t="n">
        <f aca="false">-(Q18+Q19+Q20)</f>
        <v>-0</v>
      </c>
      <c r="R21" s="51" t="n">
        <f aca="false">-(R18+R19+R20)</f>
        <v>-0</v>
      </c>
      <c r="S21" s="51" t="n">
        <f aca="false">-(S18+S19+S20)</f>
        <v>-0</v>
      </c>
      <c r="T21" s="51" t="n">
        <f aca="false">-(T18+T19+T20)</f>
        <v>-0</v>
      </c>
      <c r="U21" s="51" t="n">
        <f aca="false">-(U18+U19+U20)</f>
        <v>-0</v>
      </c>
      <c r="V21" s="51" t="n">
        <f aca="false">SUM(D21:U21)</f>
        <v>-124370.747570434</v>
      </c>
    </row>
    <row r="22" customFormat="false" ht="15" hidden="false" customHeight="false" outlineLevel="0" collapsed="false">
      <c r="A22" s="13" t="s">
        <v>777</v>
      </c>
      <c r="B22" s="14" t="s">
        <v>778</v>
      </c>
      <c r="C22" s="14" t="s">
        <v>95</v>
      </c>
      <c r="D22" s="20" t="n">
        <f aca="false">3_资金筹措!D$15</f>
        <v>20000</v>
      </c>
      <c r="E22" s="20" t="n">
        <f aca="false">3_资金筹措!E$15</f>
        <v>519.55641509434</v>
      </c>
      <c r="F22" s="20" t="n">
        <f aca="false">3_资金筹措!F$15</f>
        <v>66.5660377358491</v>
      </c>
      <c r="G22" s="20" t="n">
        <f aca="false">3_资金筹措!G$15</f>
        <v>0</v>
      </c>
      <c r="H22" s="20" t="n">
        <f aca="false">3_资金筹措!H$15</f>
        <v>0</v>
      </c>
      <c r="I22" s="20" t="n">
        <f aca="false">3_资金筹措!I$15</f>
        <v>0</v>
      </c>
      <c r="J22" s="20" t="n">
        <f aca="false">3_资金筹措!J$15</f>
        <v>0</v>
      </c>
      <c r="K22" s="20" t="n">
        <f aca="false">3_资金筹措!K$15</f>
        <v>0</v>
      </c>
      <c r="L22" s="20" t="n">
        <f aca="false">3_资金筹措!L$15</f>
        <v>0</v>
      </c>
      <c r="M22" s="20" t="n">
        <f aca="false">3_资金筹措!M$15</f>
        <v>0</v>
      </c>
      <c r="N22" s="20" t="n">
        <f aca="false">3_资金筹措!N$15</f>
        <v>0</v>
      </c>
      <c r="O22" s="20" t="n">
        <f aca="false">3_资金筹措!O$15</f>
        <v>0</v>
      </c>
      <c r="P22" s="20" t="n">
        <f aca="false">3_资金筹措!P$15</f>
        <v>0</v>
      </c>
      <c r="Q22" s="20" t="n">
        <f aca="false">3_资金筹措!Q$15</f>
        <v>0</v>
      </c>
      <c r="R22" s="20" t="n">
        <f aca="false">3_资金筹措!R$15</f>
        <v>0</v>
      </c>
      <c r="S22" s="20" t="n">
        <f aca="false">3_资金筹措!S$15</f>
        <v>0</v>
      </c>
      <c r="T22" s="20" t="n">
        <f aca="false">3_资金筹措!T$15</f>
        <v>0</v>
      </c>
      <c r="U22" s="20" t="n">
        <f aca="false">3_资金筹措!U$15</f>
        <v>0</v>
      </c>
      <c r="V22" s="46" t="n">
        <f aca="false">SUM(D22:U22)</f>
        <v>20586.1224528302</v>
      </c>
    </row>
    <row r="23" customFormat="false" ht="15" hidden="false" customHeight="false" outlineLevel="0" collapsed="false">
      <c r="A23" s="13" t="s">
        <v>779</v>
      </c>
      <c r="B23" s="14" t="s">
        <v>780</v>
      </c>
      <c r="C23" s="14" t="s">
        <v>95</v>
      </c>
      <c r="D23" s="20" t="n">
        <f aca="false">3_资金筹措!D$16+3_资金筹措!D$17</f>
        <v>103953.261151915</v>
      </c>
      <c r="E23" s="20" t="n">
        <f aca="false">3_资金筹措!E$16+3_资金筹措!E$17</f>
        <v>0</v>
      </c>
      <c r="F23" s="20" t="n">
        <f aca="false">3_资金筹措!F$16+3_资金筹措!F$17</f>
        <v>0</v>
      </c>
      <c r="G23" s="20" t="n">
        <f aca="false">3_资金筹措!G$16+3_资金筹措!G$17</f>
        <v>0</v>
      </c>
      <c r="H23" s="20" t="n">
        <f aca="false">3_资金筹措!H$16+3_资金筹措!H$17</f>
        <v>0</v>
      </c>
      <c r="I23" s="20" t="n">
        <f aca="false">3_资金筹措!I$16+3_资金筹措!I$17</f>
        <v>0</v>
      </c>
      <c r="J23" s="20" t="n">
        <f aca="false">3_资金筹措!J$16+3_资金筹措!J$17</f>
        <v>0</v>
      </c>
      <c r="K23" s="20" t="n">
        <f aca="false">3_资金筹措!K$16+3_资金筹措!K$17</f>
        <v>0</v>
      </c>
      <c r="L23" s="20" t="n">
        <f aca="false">3_资金筹措!L$16+3_资金筹措!L$17</f>
        <v>0</v>
      </c>
      <c r="M23" s="20" t="n">
        <f aca="false">3_资金筹措!M$16+3_资金筹措!M$17</f>
        <v>0</v>
      </c>
      <c r="N23" s="20" t="n">
        <f aca="false">3_资金筹措!N$16+3_资金筹措!N$17</f>
        <v>0</v>
      </c>
      <c r="O23" s="20" t="n">
        <f aca="false">3_资金筹措!O$16+3_资金筹措!O$17</f>
        <v>0</v>
      </c>
      <c r="P23" s="20" t="n">
        <f aca="false">3_资金筹措!P$16+3_资金筹措!P$17</f>
        <v>0</v>
      </c>
      <c r="Q23" s="20" t="n">
        <f aca="false">3_资金筹措!Q$16+3_资金筹措!Q$17</f>
        <v>0</v>
      </c>
      <c r="R23" s="20" t="n">
        <f aca="false">3_资金筹措!R$16+3_资金筹措!R$17</f>
        <v>0</v>
      </c>
      <c r="S23" s="20" t="n">
        <f aca="false">3_资金筹措!S$16+3_资金筹措!S$17</f>
        <v>0</v>
      </c>
      <c r="T23" s="20" t="n">
        <f aca="false">3_资金筹措!T$16+3_资金筹措!T$17</f>
        <v>0</v>
      </c>
      <c r="U23" s="20" t="n">
        <f aca="false">3_资金筹措!U$16+3_资金筹措!U$17</f>
        <v>0</v>
      </c>
      <c r="V23" s="46" t="n">
        <f aca="false">SUM(D23:U23)</f>
        <v>103953.261151915</v>
      </c>
    </row>
    <row r="24" customFormat="false" ht="15" hidden="false" customHeight="false" outlineLevel="0" collapsed="false">
      <c r="A24" s="13" t="s">
        <v>781</v>
      </c>
      <c r="B24" s="14" t="s">
        <v>649</v>
      </c>
      <c r="C24" s="14" t="s">
        <v>95</v>
      </c>
      <c r="D24" s="20" t="n">
        <f aca="false">3_资金筹措!D$18</f>
        <v>0</v>
      </c>
      <c r="E24" s="20" t="n">
        <f aca="false">3_资金筹措!E$18</f>
        <v>1212.29830188679</v>
      </c>
      <c r="F24" s="20" t="n">
        <f aca="false">3_资金筹措!F$18</f>
        <v>155.320754716981</v>
      </c>
      <c r="G24" s="20" t="n">
        <f aca="false">3_资金筹措!G$18</f>
        <v>0</v>
      </c>
      <c r="H24" s="20" t="n">
        <f aca="false">3_资金筹措!H$18</f>
        <v>0</v>
      </c>
      <c r="I24" s="20" t="n">
        <f aca="false">3_资金筹措!I$18</f>
        <v>0</v>
      </c>
      <c r="J24" s="20" t="n">
        <f aca="false">3_资金筹措!J$18</f>
        <v>0</v>
      </c>
      <c r="K24" s="20" t="n">
        <f aca="false">3_资金筹措!K$18</f>
        <v>0</v>
      </c>
      <c r="L24" s="20" t="n">
        <f aca="false">3_资金筹措!L$18</f>
        <v>0</v>
      </c>
      <c r="M24" s="20" t="n">
        <f aca="false">3_资金筹措!M$18</f>
        <v>0</v>
      </c>
      <c r="N24" s="20" t="n">
        <f aca="false">3_资金筹措!N$18</f>
        <v>0</v>
      </c>
      <c r="O24" s="20" t="n">
        <f aca="false">3_资金筹措!O$18</f>
        <v>0</v>
      </c>
      <c r="P24" s="20" t="n">
        <f aca="false">3_资金筹措!P$18</f>
        <v>0</v>
      </c>
      <c r="Q24" s="20" t="n">
        <f aca="false">3_资金筹措!Q$18</f>
        <v>0</v>
      </c>
      <c r="R24" s="20" t="n">
        <f aca="false">3_资金筹措!R$18</f>
        <v>0</v>
      </c>
      <c r="S24" s="20" t="n">
        <f aca="false">3_资金筹措!S$18</f>
        <v>0</v>
      </c>
      <c r="T24" s="20" t="n">
        <f aca="false">3_资金筹措!T$18</f>
        <v>0</v>
      </c>
      <c r="U24" s="20" t="n">
        <f aca="false">3_资金筹措!U$18</f>
        <v>0</v>
      </c>
      <c r="V24" s="46" t="n">
        <f aca="false">SUM(D24:U24)</f>
        <v>1367.61905660377</v>
      </c>
    </row>
    <row r="25" customFormat="false" ht="15" hidden="false" customHeight="false" outlineLevel="0" collapsed="false">
      <c r="A25" s="13" t="s">
        <v>80</v>
      </c>
      <c r="B25" s="54" t="s">
        <v>782</v>
      </c>
      <c r="C25" s="14" t="s">
        <v>95</v>
      </c>
      <c r="D25" s="55" t="n">
        <f aca="false">D22+D23+D24</f>
        <v>123953.261151915</v>
      </c>
      <c r="E25" s="55" t="n">
        <f aca="false">E22+E23+E24</f>
        <v>1731.85471698113</v>
      </c>
      <c r="F25" s="55" t="n">
        <f aca="false">F22+F23+F24</f>
        <v>221.88679245283</v>
      </c>
      <c r="G25" s="55" t="n">
        <f aca="false">G22+G23+G24</f>
        <v>0</v>
      </c>
      <c r="H25" s="55" t="n">
        <f aca="false">H22+H23+H24</f>
        <v>0</v>
      </c>
      <c r="I25" s="55" t="n">
        <f aca="false">I22+I23+I24</f>
        <v>0</v>
      </c>
      <c r="J25" s="55" t="n">
        <f aca="false">J22+J23+J24</f>
        <v>0</v>
      </c>
      <c r="K25" s="55" t="n">
        <f aca="false">K22+K23+K24</f>
        <v>0</v>
      </c>
      <c r="L25" s="55" t="n">
        <f aca="false">L22+L23+L24</f>
        <v>0</v>
      </c>
      <c r="M25" s="55" t="n">
        <f aca="false">M22+M23+M24</f>
        <v>0</v>
      </c>
      <c r="N25" s="55" t="n">
        <f aca="false">N22+N23+N24</f>
        <v>0</v>
      </c>
      <c r="O25" s="55" t="n">
        <f aca="false">O22+O23+O24</f>
        <v>0</v>
      </c>
      <c r="P25" s="55" t="n">
        <f aca="false">P22+P23+P24</f>
        <v>0</v>
      </c>
      <c r="Q25" s="55" t="n">
        <f aca="false">Q22+Q23+Q24</f>
        <v>0</v>
      </c>
      <c r="R25" s="55" t="n">
        <f aca="false">R22+R23+R24</f>
        <v>0</v>
      </c>
      <c r="S25" s="55" t="n">
        <f aca="false">S22+S23+S24</f>
        <v>0</v>
      </c>
      <c r="T25" s="55" t="n">
        <f aca="false">T22+T23+T24</f>
        <v>0</v>
      </c>
      <c r="U25" s="55" t="n">
        <f aca="false">U22+U23+U24</f>
        <v>0</v>
      </c>
      <c r="V25" s="55" t="n">
        <f aca="false">SUM(D25:U25)</f>
        <v>125907.002661349</v>
      </c>
    </row>
    <row r="26" customFormat="false" ht="15" hidden="false" customHeight="false" outlineLevel="0" collapsed="false">
      <c r="A26" s="13" t="s">
        <v>783</v>
      </c>
      <c r="B26" s="14" t="s">
        <v>784</v>
      </c>
      <c r="C26" s="14" t="s">
        <v>95</v>
      </c>
      <c r="D26" s="20" t="n">
        <f aca="false">11_还本付息!D$9+11_还本付息!D$10+11_还本付息!D$19</f>
        <v>1536.255090915</v>
      </c>
      <c r="E26" s="20" t="n">
        <f aca="false">11_还本付息!E$9+11_还本付息!E$10+11_还本付息!E$19</f>
        <v>3139.81305484047</v>
      </c>
      <c r="F26" s="20" t="n">
        <f aca="false">11_还本付息!F$9+11_还本付息!F$10+11_还本付息!F$19</f>
        <v>2851.88660487529</v>
      </c>
      <c r="G26" s="20" t="n">
        <f aca="false">11_还本付息!G$9+11_还本付息!G$10+11_还本付息!G$19</f>
        <v>2542.74493462709</v>
      </c>
      <c r="H26" s="20" t="n">
        <f aca="false">11_还本付息!H$9+11_还本付息!H$10+11_还本付息!H$19</f>
        <v>2230.88515117135</v>
      </c>
      <c r="I26" s="20" t="n">
        <f aca="false">11_还本付息!I$9+11_还本付息!I$10+11_还本付息!I$19</f>
        <v>1919.0253677156</v>
      </c>
      <c r="J26" s="20" t="n">
        <f aca="false">11_还本付息!J$9+11_还本付息!J$10+11_还本付息!J$19</f>
        <v>1607.16558425986</v>
      </c>
      <c r="K26" s="20" t="n">
        <f aca="false">11_还本付息!K$9+11_还本付息!K$10+11_还本付息!K$19</f>
        <v>1295.30580080411</v>
      </c>
      <c r="L26" s="20" t="n">
        <f aca="false">11_还本付息!L$9+11_还本付息!L$10+11_还本付息!L$19</f>
        <v>983.446017348367</v>
      </c>
      <c r="M26" s="20" t="n">
        <f aca="false">11_还本付息!M$9+11_还本付息!M$10+11_还本付息!M$19</f>
        <v>671.586233892622</v>
      </c>
      <c r="N26" s="20" t="n">
        <f aca="false">11_还本付息!N$9+11_还本付息!N$10+11_还本付息!N$19</f>
        <v>359.726450436877</v>
      </c>
      <c r="O26" s="20" t="n">
        <f aca="false">11_还本付息!O$9+11_还本付息!O$10+11_还本付息!O$19</f>
        <v>0</v>
      </c>
      <c r="P26" s="20" t="n">
        <f aca="false">11_还本付息!P$9+11_还本付息!P$10+11_还本付息!P$19</f>
        <v>0</v>
      </c>
      <c r="Q26" s="20" t="n">
        <f aca="false">11_还本付息!Q$9+11_还本付息!Q$10+11_还本付息!Q$19</f>
        <v>0</v>
      </c>
      <c r="R26" s="20" t="n">
        <f aca="false">11_还本付息!R$9+11_还本付息!R$10+11_还本付息!R$19</f>
        <v>0</v>
      </c>
      <c r="S26" s="20" t="n">
        <f aca="false">11_还本付息!S$9+11_还本付息!S$10+11_还本付息!S$19</f>
        <v>0</v>
      </c>
      <c r="T26" s="20" t="n">
        <f aca="false">11_还本付息!T$9+11_还本付息!T$10+11_还本付息!T$19</f>
        <v>0</v>
      </c>
      <c r="U26" s="20" t="n">
        <f aca="false">11_还本付息!U$9+11_还本付息!U$10+11_还本付息!U$19</f>
        <v>0</v>
      </c>
      <c r="V26" s="46" t="n">
        <f aca="false">SUM(D26:U26)</f>
        <v>19137.8402908866</v>
      </c>
    </row>
    <row r="27" customFormat="false" ht="15" hidden="false" customHeight="false" outlineLevel="0" collapsed="false">
      <c r="A27" s="13" t="s">
        <v>785</v>
      </c>
      <c r="B27" s="14" t="s">
        <v>786</v>
      </c>
      <c r="C27" s="14" t="s">
        <v>95</v>
      </c>
      <c r="D27" s="20" t="n">
        <f aca="false">11_还本付息!D$11+11_还本付息!D$17</f>
        <v>0</v>
      </c>
      <c r="E27" s="20" t="n">
        <f aca="false">11_还本付息!E$11+11_还本付息!E$17</f>
        <v>10395.3261151915</v>
      </c>
      <c r="F27" s="20" t="n">
        <f aca="false">11_还本付息!F$11+11_还本付息!F$17</f>
        <v>10395.3261151915</v>
      </c>
      <c r="G27" s="20" t="n">
        <f aca="false">11_还本付息!G$11+11_还本付息!G$17</f>
        <v>10395.3261151915</v>
      </c>
      <c r="H27" s="20" t="n">
        <f aca="false">11_还本付息!H$11+11_还本付息!H$17</f>
        <v>10395.3261151915</v>
      </c>
      <c r="I27" s="20" t="n">
        <f aca="false">11_还本付息!I$11+11_还本付息!I$17</f>
        <v>10395.3261151915</v>
      </c>
      <c r="J27" s="20" t="n">
        <f aca="false">11_还本付息!J$11+11_还本付息!J$17</f>
        <v>10395.3261151915</v>
      </c>
      <c r="K27" s="20" t="n">
        <f aca="false">11_还本付息!K$11+11_还本付息!K$17</f>
        <v>10395.3261151915</v>
      </c>
      <c r="L27" s="20" t="n">
        <f aca="false">11_还本付息!L$11+11_还本付息!L$17</f>
        <v>10395.3261151915</v>
      </c>
      <c r="M27" s="20" t="n">
        <f aca="false">11_还本付息!M$11+11_还本付息!M$17</f>
        <v>10395.3261151915</v>
      </c>
      <c r="N27" s="20" t="n">
        <f aca="false">11_还本付息!N$11+11_还本付息!N$17</f>
        <v>11762.9451717953</v>
      </c>
      <c r="O27" s="20" t="n">
        <f aca="false">11_还本付息!O$11+11_还本付息!O$17</f>
        <v>0</v>
      </c>
      <c r="P27" s="20" t="n">
        <f aca="false">11_还本付息!P$11+11_还本付息!P$17</f>
        <v>0</v>
      </c>
      <c r="Q27" s="20" t="n">
        <f aca="false">11_还本付息!Q$11+11_还本付息!Q$17</f>
        <v>0</v>
      </c>
      <c r="R27" s="20" t="n">
        <f aca="false">11_还本付息!R$11+11_还本付息!R$17</f>
        <v>0</v>
      </c>
      <c r="S27" s="20" t="n">
        <f aca="false">11_还本付息!S$11+11_还本付息!S$17</f>
        <v>0</v>
      </c>
      <c r="T27" s="20" t="n">
        <f aca="false">11_还本付息!T$11+11_还本付息!T$17</f>
        <v>0</v>
      </c>
      <c r="U27" s="20" t="n">
        <f aca="false">11_还本付息!U$11+11_还本付息!U$17</f>
        <v>0</v>
      </c>
      <c r="V27" s="46" t="n">
        <f aca="false">SUM(D27:U27)</f>
        <v>105320.880208519</v>
      </c>
    </row>
    <row r="28" customFormat="false" ht="15" hidden="false" customHeight="false" outlineLevel="0" collapsed="false">
      <c r="A28" s="13" t="s">
        <v>787</v>
      </c>
      <c r="B28" s="14" t="s">
        <v>788</v>
      </c>
      <c r="C28" s="14" t="s">
        <v>95</v>
      </c>
      <c r="D28" s="40" t="n">
        <f aca="false">0</f>
        <v>0</v>
      </c>
      <c r="E28" s="40" t="n">
        <f aca="false">0</f>
        <v>0</v>
      </c>
      <c r="F28" s="40" t="n">
        <f aca="false">0</f>
        <v>0</v>
      </c>
      <c r="G28" s="40" t="n">
        <f aca="false">0</f>
        <v>0</v>
      </c>
      <c r="H28" s="40" t="n">
        <f aca="false">0</f>
        <v>0</v>
      </c>
      <c r="I28" s="40" t="n">
        <f aca="false">0</f>
        <v>0</v>
      </c>
      <c r="J28" s="40" t="n">
        <f aca="false">0</f>
        <v>0</v>
      </c>
      <c r="K28" s="40" t="n">
        <f aca="false">0</f>
        <v>0</v>
      </c>
      <c r="L28" s="40" t="n">
        <f aca="false">0</f>
        <v>0</v>
      </c>
      <c r="M28" s="40" t="n">
        <f aca="false">0</f>
        <v>0</v>
      </c>
      <c r="N28" s="40" t="n">
        <f aca="false">0</f>
        <v>0</v>
      </c>
      <c r="O28" s="40" t="n">
        <f aca="false">0</f>
        <v>0</v>
      </c>
      <c r="P28" s="40" t="n">
        <f aca="false">0</f>
        <v>0</v>
      </c>
      <c r="Q28" s="40" t="n">
        <f aca="false">0</f>
        <v>0</v>
      </c>
      <c r="R28" s="40" t="n">
        <f aca="false">0</f>
        <v>0</v>
      </c>
      <c r="S28" s="40" t="n">
        <f aca="false">0</f>
        <v>0</v>
      </c>
      <c r="T28" s="40" t="n">
        <f aca="false">0</f>
        <v>0</v>
      </c>
      <c r="U28" s="40" t="n">
        <f aca="false">0</f>
        <v>0</v>
      </c>
      <c r="V28" s="46" t="n">
        <f aca="false">SUM(D28:U28)</f>
        <v>0</v>
      </c>
    </row>
    <row r="29" customFormat="false" ht="15" hidden="false" customHeight="false" outlineLevel="0" collapsed="false">
      <c r="A29" s="13" t="s">
        <v>84</v>
      </c>
      <c r="B29" s="54" t="s">
        <v>789</v>
      </c>
      <c r="C29" s="14" t="s">
        <v>95</v>
      </c>
      <c r="D29" s="55" t="n">
        <f aca="false">D26+D27+D28</f>
        <v>1536.255090915</v>
      </c>
      <c r="E29" s="55" t="n">
        <f aca="false">E26+E27+E28</f>
        <v>13535.139170032</v>
      </c>
      <c r="F29" s="55" t="n">
        <f aca="false">F26+F27+F28</f>
        <v>13247.2127200668</v>
      </c>
      <c r="G29" s="55" t="n">
        <f aca="false">G26+G27+G28</f>
        <v>12938.0710498186</v>
      </c>
      <c r="H29" s="55" t="n">
        <f aca="false">H26+H27+H28</f>
        <v>12626.2112663628</v>
      </c>
      <c r="I29" s="55" t="n">
        <f aca="false">I26+I27+I28</f>
        <v>12314.3514829071</v>
      </c>
      <c r="J29" s="55" t="n">
        <f aca="false">J26+J27+J28</f>
        <v>12002.4916994514</v>
      </c>
      <c r="K29" s="55" t="n">
        <f aca="false">K26+K27+K28</f>
        <v>11690.6319159956</v>
      </c>
      <c r="L29" s="55" t="n">
        <f aca="false">L26+L27+L28</f>
        <v>11378.7721325399</v>
      </c>
      <c r="M29" s="55" t="n">
        <f aca="false">M26+M27+M28</f>
        <v>11066.9123490841</v>
      </c>
      <c r="N29" s="55" t="n">
        <f aca="false">N26+N27+N28</f>
        <v>12122.6716222322</v>
      </c>
      <c r="O29" s="55" t="n">
        <f aca="false">O26+O27+O28</f>
        <v>0</v>
      </c>
      <c r="P29" s="55" t="n">
        <f aca="false">P26+P27+P28</f>
        <v>0</v>
      </c>
      <c r="Q29" s="55" t="n">
        <f aca="false">Q26+Q27+Q28</f>
        <v>0</v>
      </c>
      <c r="R29" s="55" t="n">
        <f aca="false">R26+R27+R28</f>
        <v>0</v>
      </c>
      <c r="S29" s="55" t="n">
        <f aca="false">S26+S27+S28</f>
        <v>0</v>
      </c>
      <c r="T29" s="55" t="n">
        <f aca="false">T26+T27+T28</f>
        <v>0</v>
      </c>
      <c r="U29" s="55" t="n">
        <f aca="false">U26+U27+U28</f>
        <v>0</v>
      </c>
      <c r="V29" s="55" t="n">
        <f aca="false">SUM(D29:U29)</f>
        <v>124458.720499405</v>
      </c>
    </row>
    <row r="30" customFormat="false" ht="15" hidden="false" customHeight="false" outlineLevel="0" collapsed="false">
      <c r="A30" s="66" t="s">
        <v>78</v>
      </c>
      <c r="B30" s="50" t="s">
        <v>790</v>
      </c>
      <c r="C30" s="49" t="s">
        <v>95</v>
      </c>
      <c r="D30" s="51" t="n">
        <f aca="false">D25-D29</f>
        <v>122417.006061</v>
      </c>
      <c r="E30" s="51" t="n">
        <f aca="false">E25-E29</f>
        <v>-11803.2844530508</v>
      </c>
      <c r="F30" s="51" t="n">
        <f aca="false">F25-F29</f>
        <v>-13025.325927614</v>
      </c>
      <c r="G30" s="51" t="n">
        <f aca="false">G25-G29</f>
        <v>-12938.0710498186</v>
      </c>
      <c r="H30" s="51" t="n">
        <f aca="false">H25-H29</f>
        <v>-12626.2112663628</v>
      </c>
      <c r="I30" s="51" t="n">
        <f aca="false">I25-I29</f>
        <v>-12314.3514829071</v>
      </c>
      <c r="J30" s="51" t="n">
        <f aca="false">J25-J29</f>
        <v>-12002.4916994514</v>
      </c>
      <c r="K30" s="51" t="n">
        <f aca="false">K25-K29</f>
        <v>-11690.6319159956</v>
      </c>
      <c r="L30" s="51" t="n">
        <f aca="false">L25-L29</f>
        <v>-11378.7721325399</v>
      </c>
      <c r="M30" s="51" t="n">
        <f aca="false">M25-M29</f>
        <v>-11066.9123490841</v>
      </c>
      <c r="N30" s="51" t="n">
        <f aca="false">N25-N29</f>
        <v>-12122.6716222322</v>
      </c>
      <c r="O30" s="51" t="n">
        <f aca="false">O25-O29</f>
        <v>0</v>
      </c>
      <c r="P30" s="51" t="n">
        <f aca="false">P25-P29</f>
        <v>0</v>
      </c>
      <c r="Q30" s="51" t="n">
        <f aca="false">Q25-Q29</f>
        <v>0</v>
      </c>
      <c r="R30" s="51" t="n">
        <f aca="false">R25-R29</f>
        <v>0</v>
      </c>
      <c r="S30" s="51" t="n">
        <f aca="false">S25-S29</f>
        <v>0</v>
      </c>
      <c r="T30" s="51" t="n">
        <f aca="false">T25-T29</f>
        <v>0</v>
      </c>
      <c r="U30" s="51" t="n">
        <f aca="false">U25-U29</f>
        <v>0</v>
      </c>
      <c r="V30" s="51" t="n">
        <f aca="false">SUM(D30:U30)</f>
        <v>1448.28216194355</v>
      </c>
    </row>
    <row r="31" customFormat="false" ht="15" hidden="false" customHeight="false" outlineLevel="0" collapsed="false">
      <c r="A31" s="13" t="s">
        <v>91</v>
      </c>
      <c r="B31" s="54" t="s">
        <v>791</v>
      </c>
      <c r="C31" s="14" t="s">
        <v>95</v>
      </c>
      <c r="D31" s="55" t="n">
        <f aca="false">D17+D21+D30</f>
        <v>0</v>
      </c>
      <c r="E31" s="55" t="n">
        <f aca="false">E17+E21+E30</f>
        <v>5771.66261012803</v>
      </c>
      <c r="F31" s="55" t="n">
        <f aca="false">F17+F21+F30</f>
        <v>8793.57220761321</v>
      </c>
      <c r="G31" s="55" t="n">
        <f aca="false">G17+G21+G30</f>
        <v>9102.71387786141</v>
      </c>
      <c r="H31" s="55" t="n">
        <f aca="false">H17+H21+H30</f>
        <v>8472.07366131715</v>
      </c>
      <c r="I31" s="55" t="n">
        <f aca="false">I17+I21+I30</f>
        <v>8783.9334447729</v>
      </c>
      <c r="J31" s="55" t="n">
        <f aca="false">J17+J21+J30</f>
        <v>6805.70598228351</v>
      </c>
      <c r="K31" s="55" t="n">
        <f aca="false">K17+K21+K30</f>
        <v>4280.54247553139</v>
      </c>
      <c r="L31" s="55" t="n">
        <f aca="false">L17+L21+L30</f>
        <v>4514.43731312319</v>
      </c>
      <c r="M31" s="55" t="n">
        <f aca="false">M17+M21+M30</f>
        <v>4748.332150715</v>
      </c>
      <c r="N31" s="55" t="n">
        <f aca="false">N17+N21+N30</f>
        <v>3614.60793170304</v>
      </c>
      <c r="O31" s="55" t="n">
        <f aca="false">O17+O21+O30</f>
        <v>0</v>
      </c>
      <c r="P31" s="55" t="n">
        <f aca="false">P17+P21+P30</f>
        <v>0</v>
      </c>
      <c r="Q31" s="55" t="n">
        <f aca="false">Q17+Q21+Q30</f>
        <v>0</v>
      </c>
      <c r="R31" s="55" t="n">
        <f aca="false">R17+R21+R30</f>
        <v>0</v>
      </c>
      <c r="S31" s="55" t="n">
        <f aca="false">S17+S21+S30</f>
        <v>0</v>
      </c>
      <c r="T31" s="55" t="n">
        <f aca="false">T17+T21+T30</f>
        <v>0</v>
      </c>
      <c r="U31" s="55" t="n">
        <f aca="false">U17+U21+U30</f>
        <v>0</v>
      </c>
      <c r="V31" s="55" t="n">
        <f aca="false">SUM(D31:U31)</f>
        <v>64887.5816550488</v>
      </c>
    </row>
    <row r="32" customFormat="false" ht="15" hidden="false" customHeight="false" outlineLevel="0" collapsed="false">
      <c r="A32" s="66" t="s">
        <v>118</v>
      </c>
      <c r="B32" s="50" t="s">
        <v>792</v>
      </c>
      <c r="C32" s="49" t="s">
        <v>95</v>
      </c>
      <c r="D32" s="51" t="n">
        <f aca="false">D31</f>
        <v>0</v>
      </c>
      <c r="E32" s="51" t="n">
        <f aca="false">IF(1=0,E31,D32+E31)</f>
        <v>5771.66261012803</v>
      </c>
      <c r="F32" s="51" t="n">
        <f aca="false">IF(2=0,F31,E32+F31)</f>
        <v>14565.2348177412</v>
      </c>
      <c r="G32" s="51" t="n">
        <f aca="false">IF(3=0,G31,F32+G31)</f>
        <v>23667.9486956026</v>
      </c>
      <c r="H32" s="51" t="n">
        <f aca="false">IF(4=0,H31,G32+H31)</f>
        <v>32140.0223569198</v>
      </c>
      <c r="I32" s="51" t="n">
        <f aca="false">IF(5=0,I31,H32+I31)</f>
        <v>40923.9558016927</v>
      </c>
      <c r="J32" s="51" t="n">
        <f aca="false">IF(6=0,J31,I32+J31)</f>
        <v>47729.6617839762</v>
      </c>
      <c r="K32" s="51" t="n">
        <f aca="false">IF(7=0,K31,J32+K31)</f>
        <v>52010.2042595076</v>
      </c>
      <c r="L32" s="51" t="n">
        <f aca="false">IF(8=0,L31,K32+L31)</f>
        <v>56524.6415726308</v>
      </c>
      <c r="M32" s="51" t="n">
        <f aca="false">IF(9=0,M31,L32+M31)</f>
        <v>61272.9737233458</v>
      </c>
      <c r="N32" s="51" t="n">
        <f aca="false">IF(10=0,N31,M32+N31)</f>
        <v>64887.5816550488</v>
      </c>
      <c r="O32" s="51" t="n">
        <f aca="false">IF(11=0,O31,N32+O31)</f>
        <v>64887.5816550488</v>
      </c>
      <c r="P32" s="51" t="n">
        <f aca="false">IF(12=0,P31,O32+P31)</f>
        <v>64887.5816550488</v>
      </c>
      <c r="Q32" s="51" t="n">
        <f aca="false">IF(13=0,Q31,P32+Q31)</f>
        <v>64887.5816550488</v>
      </c>
      <c r="R32" s="51" t="n">
        <f aca="false">IF(14=0,R31,Q32+R31)</f>
        <v>64887.5816550488</v>
      </c>
      <c r="S32" s="51" t="n">
        <f aca="false">IF(15=0,S31,R32+S31)</f>
        <v>64887.5816550488</v>
      </c>
      <c r="T32" s="51" t="n">
        <f aca="false">IF(16=0,T31,S32+T31)</f>
        <v>64887.5816550488</v>
      </c>
      <c r="U32" s="51" t="n">
        <f aca="false">IF(17=0,U31,T32+U31)</f>
        <v>64887.5816550488</v>
      </c>
      <c r="V32" s="60" t="n">
        <f aca="false">INDEX(D32:U32,0_参数!$C$9+0_参数!$C$10)</f>
        <v>64887.5816550488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21" min="4" style="0" width="11"/>
    <col collapsed="false" customWidth="true" hidden="false" outlineLevel="0" max="22" min="22" style="0" width="13"/>
  </cols>
  <sheetData>
    <row r="1" customFormat="false" ht="21.6" hidden="false" customHeight="false" outlineLevel="0" collapsed="false">
      <c r="A1" s="6" t="s">
        <v>793</v>
      </c>
    </row>
    <row r="2" customFormat="false" ht="15" hidden="false" customHeight="false" outlineLevel="0" collapsed="false">
      <c r="A2" s="7" t="s">
        <v>794</v>
      </c>
    </row>
    <row r="3" customFormat="false" ht="15" hidden="false" customHeight="false" outlineLevel="0" collapsed="false">
      <c r="A3" s="27" t="s">
        <v>25</v>
      </c>
      <c r="B3" s="27" t="s">
        <v>611</v>
      </c>
      <c r="C3" s="27" t="s">
        <v>612</v>
      </c>
      <c r="D3" s="61" t="n">
        <v>1</v>
      </c>
      <c r="E3" s="61" t="n">
        <f aca="false">D3+1</f>
        <v>2</v>
      </c>
      <c r="F3" s="61" t="n">
        <f aca="false">E3+1</f>
        <v>3</v>
      </c>
      <c r="G3" s="61" t="n">
        <f aca="false">F3+1</f>
        <v>4</v>
      </c>
      <c r="H3" s="61" t="n">
        <f aca="false">G3+1</f>
        <v>5</v>
      </c>
      <c r="I3" s="61" t="n">
        <f aca="false">H3+1</f>
        <v>6</v>
      </c>
      <c r="J3" s="61" t="n">
        <f aca="false">I3+1</f>
        <v>7</v>
      </c>
      <c r="K3" s="61" t="n">
        <f aca="false">J3+1</f>
        <v>8</v>
      </c>
      <c r="L3" s="61" t="n">
        <f aca="false">K3+1</f>
        <v>9</v>
      </c>
      <c r="M3" s="61" t="n">
        <f aca="false">L3+1</f>
        <v>10</v>
      </c>
      <c r="N3" s="61" t="n">
        <f aca="false">M3+1</f>
        <v>11</v>
      </c>
      <c r="O3" s="61" t="n">
        <f aca="false">N3+1</f>
        <v>12</v>
      </c>
      <c r="P3" s="61" t="n">
        <f aca="false">O3+1</f>
        <v>13</v>
      </c>
      <c r="Q3" s="61" t="n">
        <f aca="false">P3+1</f>
        <v>14</v>
      </c>
      <c r="R3" s="61" t="n">
        <f aca="false">Q3+1</f>
        <v>15</v>
      </c>
      <c r="S3" s="61" t="n">
        <f aca="false">R3+1</f>
        <v>16</v>
      </c>
      <c r="T3" s="61" t="n">
        <f aca="false">S3+1</f>
        <v>17</v>
      </c>
      <c r="U3" s="61" t="n">
        <f aca="false">T3+1</f>
        <v>18</v>
      </c>
      <c r="V3" s="8" t="s">
        <v>613</v>
      </c>
    </row>
    <row r="4" customFormat="false" ht="15" hidden="false" customHeight="false" outlineLevel="0" collapsed="false">
      <c r="A4" s="62"/>
      <c r="B4" s="27" t="s">
        <v>614</v>
      </c>
      <c r="C4" s="62"/>
      <c r="D4" s="63" t="str">
        <f aca="false">IF(D$3&lt;=0_参数!$C$9,"建设",IF(D$3&lt;=0_参数!$C$9+0_参数!$C$10,"运营",""))</f>
        <v>建设</v>
      </c>
      <c r="E4" s="63" t="str">
        <f aca="false">IF(E$3&lt;=0_参数!$C$9,"建设",IF(E$3&lt;=0_参数!$C$9+0_参数!$C$10,"运营",""))</f>
        <v>运营</v>
      </c>
      <c r="F4" s="63" t="str">
        <f aca="false">IF(F$3&lt;=0_参数!$C$9,"建设",IF(F$3&lt;=0_参数!$C$9+0_参数!$C$10,"运营",""))</f>
        <v>运营</v>
      </c>
      <c r="G4" s="63" t="str">
        <f aca="false">IF(G$3&lt;=0_参数!$C$9,"建设",IF(G$3&lt;=0_参数!$C$9+0_参数!$C$10,"运营",""))</f>
        <v>运营</v>
      </c>
      <c r="H4" s="63" t="str">
        <f aca="false">IF(H$3&lt;=0_参数!$C$9,"建设",IF(H$3&lt;=0_参数!$C$9+0_参数!$C$10,"运营",""))</f>
        <v>运营</v>
      </c>
      <c r="I4" s="63" t="str">
        <f aca="false">IF(I$3&lt;=0_参数!$C$9,"建设",IF(I$3&lt;=0_参数!$C$9+0_参数!$C$10,"运营",""))</f>
        <v>运营</v>
      </c>
      <c r="J4" s="63" t="str">
        <f aca="false">IF(J$3&lt;=0_参数!$C$9,"建设",IF(J$3&lt;=0_参数!$C$9+0_参数!$C$10,"运营",""))</f>
        <v>运营</v>
      </c>
      <c r="K4" s="63" t="str">
        <f aca="false">IF(K$3&lt;=0_参数!$C$9,"建设",IF(K$3&lt;=0_参数!$C$9+0_参数!$C$10,"运营",""))</f>
        <v>运营</v>
      </c>
      <c r="L4" s="63" t="str">
        <f aca="false">IF(L$3&lt;=0_参数!$C$9,"建设",IF(L$3&lt;=0_参数!$C$9+0_参数!$C$10,"运营",""))</f>
        <v>运营</v>
      </c>
      <c r="M4" s="63" t="str">
        <f aca="false">IF(M$3&lt;=0_参数!$C$9,"建设",IF(M$3&lt;=0_参数!$C$9+0_参数!$C$10,"运营",""))</f>
        <v>运营</v>
      </c>
      <c r="N4" s="63" t="str">
        <f aca="false">IF(N$3&lt;=0_参数!$C$9,"建设",IF(N$3&lt;=0_参数!$C$9+0_参数!$C$10,"运营",""))</f>
        <v>运营</v>
      </c>
      <c r="O4" s="63" t="str">
        <f aca="false">IF(O$3&lt;=0_参数!$C$9,"建设",IF(O$3&lt;=0_参数!$C$9+0_参数!$C$10,"运营",""))</f>
        <v/>
      </c>
      <c r="P4" s="63" t="str">
        <f aca="false">IF(P$3&lt;=0_参数!$C$9,"建设",IF(P$3&lt;=0_参数!$C$9+0_参数!$C$10,"运营",""))</f>
        <v/>
      </c>
      <c r="Q4" s="63" t="str">
        <f aca="false">IF(Q$3&lt;=0_参数!$C$9,"建设",IF(Q$3&lt;=0_参数!$C$9+0_参数!$C$10,"运营",""))</f>
        <v/>
      </c>
      <c r="R4" s="63" t="str">
        <f aca="false">IF(R$3&lt;=0_参数!$C$9,"建设",IF(R$3&lt;=0_参数!$C$9+0_参数!$C$10,"运营",""))</f>
        <v/>
      </c>
      <c r="S4" s="63" t="str">
        <f aca="false">IF(S$3&lt;=0_参数!$C$9,"建设",IF(S$3&lt;=0_参数!$C$9+0_参数!$C$10,"运营",""))</f>
        <v/>
      </c>
      <c r="T4" s="63" t="str">
        <f aca="false">IF(T$3&lt;=0_参数!$C$9,"建设",IF(T$3&lt;=0_参数!$C$9+0_参数!$C$10,"运营",""))</f>
        <v/>
      </c>
      <c r="U4" s="63" t="str">
        <f aca="false">IF(U$3&lt;=0_参数!$C$9,"建设",IF(U$3&lt;=0_参数!$C$9+0_参数!$C$10,"运营",""))</f>
        <v/>
      </c>
      <c r="V4" s="62"/>
    </row>
    <row r="5" customFormat="false" ht="15" hidden="false" customHeight="false" outlineLevel="0" collapsed="false">
      <c r="A5" s="62"/>
      <c r="B5" s="27" t="s">
        <v>615</v>
      </c>
      <c r="C5" s="62"/>
      <c r="D5" s="64" t="n">
        <f aca="false">IF(D$4="运营",D$3-0_参数!$C$9,0)</f>
        <v>0</v>
      </c>
      <c r="E5" s="64" t="n">
        <f aca="false">IF(E$4="运营",E$3-0_参数!$C$9,0)</f>
        <v>1</v>
      </c>
      <c r="F5" s="64" t="n">
        <f aca="false">IF(F$4="运营",F$3-0_参数!$C$9,0)</f>
        <v>2</v>
      </c>
      <c r="G5" s="64" t="n">
        <f aca="false">IF(G$4="运营",G$3-0_参数!$C$9,0)</f>
        <v>3</v>
      </c>
      <c r="H5" s="64" t="n">
        <f aca="false">IF(H$4="运营",H$3-0_参数!$C$9,0)</f>
        <v>4</v>
      </c>
      <c r="I5" s="64" t="n">
        <f aca="false">IF(I$4="运营",I$3-0_参数!$C$9,0)</f>
        <v>5</v>
      </c>
      <c r="J5" s="64" t="n">
        <f aca="false">IF(J$4="运营",J$3-0_参数!$C$9,0)</f>
        <v>6</v>
      </c>
      <c r="K5" s="64" t="n">
        <f aca="false">IF(K$4="运营",K$3-0_参数!$C$9,0)</f>
        <v>7</v>
      </c>
      <c r="L5" s="64" t="n">
        <f aca="false">IF(L$4="运营",L$3-0_参数!$C$9,0)</f>
        <v>8</v>
      </c>
      <c r="M5" s="64" t="n">
        <f aca="false">IF(M$4="运营",M$3-0_参数!$C$9,0)</f>
        <v>9</v>
      </c>
      <c r="N5" s="64" t="n">
        <f aca="false">IF(N$4="运营",N$3-0_参数!$C$9,0)</f>
        <v>10</v>
      </c>
      <c r="O5" s="64" t="n">
        <f aca="false">IF(O$4="运营",O$3-0_参数!$C$9,0)</f>
        <v>0</v>
      </c>
      <c r="P5" s="64" t="n">
        <f aca="false">IF(P$4="运营",P$3-0_参数!$C$9,0)</f>
        <v>0</v>
      </c>
      <c r="Q5" s="64" t="n">
        <f aca="false">IF(Q$4="运营",Q$3-0_参数!$C$9,0)</f>
        <v>0</v>
      </c>
      <c r="R5" s="64" t="n">
        <f aca="false">IF(R$4="运营",R$3-0_参数!$C$9,0)</f>
        <v>0</v>
      </c>
      <c r="S5" s="64" t="n">
        <f aca="false">IF(S$4="运营",S$3-0_参数!$C$9,0)</f>
        <v>0</v>
      </c>
      <c r="T5" s="64" t="n">
        <f aca="false">IF(T$4="运营",T$3-0_参数!$C$9,0)</f>
        <v>0</v>
      </c>
      <c r="U5" s="64" t="n">
        <f aca="false">IF(U$4="运营",U$3-0_参数!$C$9,0)</f>
        <v>0</v>
      </c>
      <c r="V5" s="62"/>
    </row>
    <row r="6" customFormat="false" ht="15" hidden="false" customHeight="false" outlineLevel="0" collapsed="false">
      <c r="A6" s="62"/>
      <c r="B6" s="27" t="s">
        <v>616</v>
      </c>
      <c r="C6" s="62"/>
      <c r="D6" s="65" t="n">
        <f aca="false">IF(D$4="建设",D$3,0)</f>
        <v>1</v>
      </c>
      <c r="E6" s="65" t="n">
        <f aca="false">IF(E$4="建设",E$3,0)</f>
        <v>0</v>
      </c>
      <c r="F6" s="65" t="n">
        <f aca="false">IF(F$4="建设",F$3,0)</f>
        <v>0</v>
      </c>
      <c r="G6" s="65" t="n">
        <f aca="false">IF(G$4="建设",G$3,0)</f>
        <v>0</v>
      </c>
      <c r="H6" s="65" t="n">
        <f aca="false">IF(H$4="建设",H$3,0)</f>
        <v>0</v>
      </c>
      <c r="I6" s="65" t="n">
        <f aca="false">IF(I$4="建设",I$3,0)</f>
        <v>0</v>
      </c>
      <c r="J6" s="65" t="n">
        <f aca="false">IF(J$4="建设",J$3,0)</f>
        <v>0</v>
      </c>
      <c r="K6" s="65" t="n">
        <f aca="false">IF(K$4="建设",K$3,0)</f>
        <v>0</v>
      </c>
      <c r="L6" s="65" t="n">
        <f aca="false">IF(L$4="建设",L$3,0)</f>
        <v>0</v>
      </c>
      <c r="M6" s="65" t="n">
        <f aca="false">IF(M$4="建设",M$3,0)</f>
        <v>0</v>
      </c>
      <c r="N6" s="65" t="n">
        <f aca="false">IF(N$4="建设",N$3,0)</f>
        <v>0</v>
      </c>
      <c r="O6" s="65" t="n">
        <f aca="false">IF(O$4="建设",O$3,0)</f>
        <v>0</v>
      </c>
      <c r="P6" s="65" t="n">
        <f aca="false">IF(P$4="建设",P$3,0)</f>
        <v>0</v>
      </c>
      <c r="Q6" s="65" t="n">
        <f aca="false">IF(Q$4="建设",Q$3,0)</f>
        <v>0</v>
      </c>
      <c r="R6" s="65" t="n">
        <f aca="false">IF(R$4="建设",R$3,0)</f>
        <v>0</v>
      </c>
      <c r="S6" s="65" t="n">
        <f aca="false">IF(S$4="建设",S$3,0)</f>
        <v>0</v>
      </c>
      <c r="T6" s="65" t="n">
        <f aca="false">IF(T$4="建设",T$3,0)</f>
        <v>0</v>
      </c>
      <c r="U6" s="65" t="n">
        <f aca="false">IF(U$4="建设",U$3,0)</f>
        <v>0</v>
      </c>
      <c r="V6" s="62"/>
    </row>
    <row r="7" customFormat="false" ht="15" hidden="false" customHeight="false" outlineLevel="0" collapsed="false">
      <c r="A7" s="13" t="s">
        <v>765</v>
      </c>
      <c r="B7" s="14" t="s">
        <v>795</v>
      </c>
      <c r="C7" s="14" t="s">
        <v>95</v>
      </c>
      <c r="D7" s="20" t="n">
        <f aca="false">9_财务计划现金流量!D$32+2_流动资金!D$9</f>
        <v>0</v>
      </c>
      <c r="E7" s="20" t="n">
        <f aca="false">9_财务计划现金流量!E$32+2_流动资金!E$9</f>
        <v>5822.76261012803</v>
      </c>
      <c r="F7" s="20" t="n">
        <f aca="false">9_财务计划现金流量!F$32+2_流动资金!F$9</f>
        <v>14616.3348177412</v>
      </c>
      <c r="G7" s="20" t="n">
        <f aca="false">9_财务计划现金流量!G$32+2_流动资金!G$9</f>
        <v>23719.0486956026</v>
      </c>
      <c r="H7" s="20" t="n">
        <f aca="false">9_财务计划现金流量!H$32+2_流动资金!H$9</f>
        <v>32191.1223569198</v>
      </c>
      <c r="I7" s="20" t="n">
        <f aca="false">9_财务计划现金流量!I$32+2_流动资金!I$9</f>
        <v>40975.0558016927</v>
      </c>
      <c r="J7" s="20" t="n">
        <f aca="false">9_财务计划现金流量!J$32+2_流动资金!J$9</f>
        <v>47780.7617839762</v>
      </c>
      <c r="K7" s="20" t="n">
        <f aca="false">9_财务计划现金流量!K$32+2_流动资金!K$9</f>
        <v>52061.3042595076</v>
      </c>
      <c r="L7" s="20" t="n">
        <f aca="false">9_财务计划现金流量!L$32+2_流动资金!L$9</f>
        <v>56575.7415726308</v>
      </c>
      <c r="M7" s="20" t="n">
        <f aca="false">9_财务计划现金流量!M$32+2_流动资金!M$9</f>
        <v>61324.0737233458</v>
      </c>
      <c r="N7" s="20" t="n">
        <f aca="false">9_财务计划现金流量!N$32+2_流动资金!N$9</f>
        <v>64938.6816550488</v>
      </c>
      <c r="O7" s="20" t="n">
        <f aca="false">9_财务计划现金流量!O$32+2_流动资金!O$9</f>
        <v>64887.5816550488</v>
      </c>
      <c r="P7" s="20" t="n">
        <f aca="false">9_财务计划现金流量!P$32+2_流动资金!P$9</f>
        <v>64887.5816550488</v>
      </c>
      <c r="Q7" s="20" t="n">
        <f aca="false">9_财务计划现金流量!Q$32+2_流动资金!Q$9</f>
        <v>64887.5816550488</v>
      </c>
      <c r="R7" s="20" t="n">
        <f aca="false">9_财务计划现金流量!R$32+2_流动资金!R$9</f>
        <v>64887.5816550488</v>
      </c>
      <c r="S7" s="20" t="n">
        <f aca="false">9_财务计划现金流量!S$32+2_流动资金!S$9</f>
        <v>64887.5816550488</v>
      </c>
      <c r="T7" s="20" t="n">
        <f aca="false">9_财务计划现金流量!T$32+2_流动资金!T$9</f>
        <v>64887.5816550488</v>
      </c>
      <c r="U7" s="20" t="n">
        <f aca="false">9_财务计划现金流量!U$32+2_流动资金!U$9</f>
        <v>64887.5816550488</v>
      </c>
      <c r="V7" s="14"/>
    </row>
    <row r="8" customFormat="false" ht="15" hidden="false" customHeight="false" outlineLevel="0" collapsed="false">
      <c r="A8" s="13" t="s">
        <v>766</v>
      </c>
      <c r="B8" s="14" t="s">
        <v>617</v>
      </c>
      <c r="C8" s="14" t="s">
        <v>95</v>
      </c>
      <c r="D8" s="20" t="n">
        <f aca="false">2_流动资金!D$7</f>
        <v>0</v>
      </c>
      <c r="E8" s="20" t="n">
        <f aca="false">2_流动资金!E$7</f>
        <v>1775.09433962264</v>
      </c>
      <c r="F8" s="20" t="n">
        <f aca="false">2_流动资金!F$7</f>
        <v>1996.98113207547</v>
      </c>
      <c r="G8" s="20" t="n">
        <f aca="false">2_流动资金!G$7</f>
        <v>1996.98113207547</v>
      </c>
      <c r="H8" s="20" t="n">
        <f aca="false">2_流动资金!H$7</f>
        <v>1996.98113207547</v>
      </c>
      <c r="I8" s="20" t="n">
        <f aca="false">2_流动资金!I$7</f>
        <v>1996.98113207547</v>
      </c>
      <c r="J8" s="20" t="n">
        <f aca="false">2_流动资金!J$7</f>
        <v>1996.98113207547</v>
      </c>
      <c r="K8" s="20" t="n">
        <f aca="false">2_流动资金!K$7</f>
        <v>1996.98113207547</v>
      </c>
      <c r="L8" s="20" t="n">
        <f aca="false">2_流动资金!L$7</f>
        <v>1996.98113207547</v>
      </c>
      <c r="M8" s="20" t="n">
        <f aca="false">2_流动资金!M$7</f>
        <v>1996.98113207547</v>
      </c>
      <c r="N8" s="20" t="n">
        <f aca="false">2_流动资金!N$7</f>
        <v>1996.98113207547</v>
      </c>
      <c r="O8" s="20" t="n">
        <f aca="false">2_流动资金!O$7</f>
        <v>0</v>
      </c>
      <c r="P8" s="20" t="n">
        <f aca="false">2_流动资金!P$7</f>
        <v>0</v>
      </c>
      <c r="Q8" s="20" t="n">
        <f aca="false">2_流动资金!Q$7</f>
        <v>0</v>
      </c>
      <c r="R8" s="20" t="n">
        <f aca="false">2_流动资金!R$7</f>
        <v>0</v>
      </c>
      <c r="S8" s="20" t="n">
        <f aca="false">2_流动资金!S$7</f>
        <v>0</v>
      </c>
      <c r="T8" s="20" t="n">
        <f aca="false">2_流动资金!T$7</f>
        <v>0</v>
      </c>
      <c r="U8" s="20" t="n">
        <f aca="false">2_流动资金!U$7</f>
        <v>0</v>
      </c>
      <c r="V8" s="14"/>
    </row>
    <row r="9" customFormat="false" ht="15" hidden="false" customHeight="false" outlineLevel="0" collapsed="false">
      <c r="A9" s="13" t="s">
        <v>767</v>
      </c>
      <c r="B9" s="14" t="s">
        <v>796</v>
      </c>
      <c r="C9" s="14" t="s">
        <v>95</v>
      </c>
      <c r="D9" s="20" t="n">
        <f aca="false">2_流动资金!D$8</f>
        <v>0</v>
      </c>
      <c r="E9" s="20" t="n">
        <f aca="false">2_流动资金!E$8</f>
        <v>53.4987050164813</v>
      </c>
      <c r="F9" s="20" t="n">
        <f aca="false">2_流动资金!F$8</f>
        <v>60.0191218660388</v>
      </c>
      <c r="G9" s="20" t="n">
        <f aca="false">2_流动资金!G$8</f>
        <v>60.0191218660388</v>
      </c>
      <c r="H9" s="20" t="n">
        <f aca="false">2_流动资金!H$8</f>
        <v>60.0191218660388</v>
      </c>
      <c r="I9" s="20" t="n">
        <f aca="false">2_流动资金!I$8</f>
        <v>60.0191218660388</v>
      </c>
      <c r="J9" s="20" t="n">
        <f aca="false">2_流动资金!J$8</f>
        <v>60.0191218660388</v>
      </c>
      <c r="K9" s="20" t="n">
        <f aca="false">2_流动资金!K$8</f>
        <v>60.0191218660388</v>
      </c>
      <c r="L9" s="20" t="n">
        <f aca="false">2_流动资金!L$8</f>
        <v>60.0191218660388</v>
      </c>
      <c r="M9" s="20" t="n">
        <f aca="false">2_流动资金!M$8</f>
        <v>60.0191218660388</v>
      </c>
      <c r="N9" s="20" t="n">
        <f aca="false">2_流动资金!N$8</f>
        <v>60.0191218660388</v>
      </c>
      <c r="O9" s="20" t="n">
        <f aca="false">2_流动资金!O$8</f>
        <v>0</v>
      </c>
      <c r="P9" s="20" t="n">
        <f aca="false">2_流动资金!P$8</f>
        <v>0</v>
      </c>
      <c r="Q9" s="20" t="n">
        <f aca="false">2_流动资金!Q$8</f>
        <v>0</v>
      </c>
      <c r="R9" s="20" t="n">
        <f aca="false">2_流动资金!R$8</f>
        <v>0</v>
      </c>
      <c r="S9" s="20" t="n">
        <f aca="false">2_流动资金!S$8</f>
        <v>0</v>
      </c>
      <c r="T9" s="20" t="n">
        <f aca="false">2_流动资金!T$8</f>
        <v>0</v>
      </c>
      <c r="U9" s="20" t="n">
        <f aca="false">2_流动资金!U$8</f>
        <v>0</v>
      </c>
      <c r="V9" s="14"/>
    </row>
    <row r="10" customFormat="false" ht="15" hidden="false" customHeight="false" outlineLevel="0" collapsed="false">
      <c r="A10" s="13" t="s">
        <v>32</v>
      </c>
      <c r="B10" s="54" t="s">
        <v>620</v>
      </c>
      <c r="C10" s="14" t="s">
        <v>95</v>
      </c>
      <c r="D10" s="55" t="n">
        <f aca="false">D7+D8+D9</f>
        <v>0</v>
      </c>
      <c r="E10" s="55" t="n">
        <f aca="false">E7+E8+E9</f>
        <v>7651.35565476715</v>
      </c>
      <c r="F10" s="55" t="n">
        <f aca="false">F7+F8+F9</f>
        <v>16673.3350716827</v>
      </c>
      <c r="G10" s="55" t="n">
        <f aca="false">G7+G8+G9</f>
        <v>25776.0489495442</v>
      </c>
      <c r="H10" s="55" t="n">
        <f aca="false">H7+H8+H9</f>
        <v>34248.1226108613</v>
      </c>
      <c r="I10" s="55" t="n">
        <f aca="false">I7+I8+I9</f>
        <v>43032.0560556342</v>
      </c>
      <c r="J10" s="55" t="n">
        <f aca="false">J7+J8+J9</f>
        <v>49837.7620379177</v>
      </c>
      <c r="K10" s="55" t="n">
        <f aca="false">K7+K8+K9</f>
        <v>54118.3045134491</v>
      </c>
      <c r="L10" s="55" t="n">
        <f aca="false">L7+L8+L9</f>
        <v>58632.7418265723</v>
      </c>
      <c r="M10" s="55" t="n">
        <f aca="false">M7+M8+M9</f>
        <v>63381.0739772873</v>
      </c>
      <c r="N10" s="55" t="n">
        <f aca="false">N7+N8+N9</f>
        <v>66995.6819089903</v>
      </c>
      <c r="O10" s="55" t="n">
        <f aca="false">O7+O8+O9</f>
        <v>64887.5816550488</v>
      </c>
      <c r="P10" s="55" t="n">
        <f aca="false">P7+P8+P9</f>
        <v>64887.5816550488</v>
      </c>
      <c r="Q10" s="55" t="n">
        <f aca="false">Q7+Q8+Q9</f>
        <v>64887.5816550488</v>
      </c>
      <c r="R10" s="55" t="n">
        <f aca="false">R7+R8+R9</f>
        <v>64887.5816550488</v>
      </c>
      <c r="S10" s="55" t="n">
        <f aca="false">S7+S8+S9</f>
        <v>64887.5816550488</v>
      </c>
      <c r="T10" s="55" t="n">
        <f aca="false">T7+T8+T9</f>
        <v>64887.5816550488</v>
      </c>
      <c r="U10" s="55" t="n">
        <f aca="false">U7+U8+U9</f>
        <v>64887.5816550488</v>
      </c>
      <c r="V10" s="14"/>
    </row>
    <row r="11" customFormat="false" ht="15" hidden="false" customHeight="false" outlineLevel="0" collapsed="false">
      <c r="A11" s="13" t="s">
        <v>36</v>
      </c>
      <c r="B11" s="14" t="s">
        <v>797</v>
      </c>
      <c r="C11" s="14" t="s">
        <v>95</v>
      </c>
      <c r="D11" s="20" t="n">
        <f aca="false">IF(D$4="建设",3_资金筹措!D$8+3_资金筹措!D$9,0)</f>
        <v>123953.261151915</v>
      </c>
      <c r="E11" s="20" t="n">
        <f aca="false">IF(E$4="建设",IF(1=0,0,D11)+3_资金筹措!E$8+3_资金筹措!E$9,0)</f>
        <v>0</v>
      </c>
      <c r="F11" s="20" t="n">
        <f aca="false">IF(F$4="建设",IF(2=0,0,E11)+3_资金筹措!F$8+3_资金筹措!F$9,0)</f>
        <v>0</v>
      </c>
      <c r="G11" s="20" t="n">
        <f aca="false">IF(G$4="建设",IF(3=0,0,F11)+3_资金筹措!G$8+3_资金筹措!G$9,0)</f>
        <v>0</v>
      </c>
      <c r="H11" s="20" t="n">
        <f aca="false">IF(H$4="建设",IF(4=0,0,G11)+3_资金筹措!H$8+3_资金筹措!H$9,0)</f>
        <v>0</v>
      </c>
      <c r="I11" s="20" t="n">
        <f aca="false">IF(I$4="建设",IF(5=0,0,H11)+3_资金筹措!I$8+3_资金筹措!I$9,0)</f>
        <v>0</v>
      </c>
      <c r="J11" s="20" t="n">
        <f aca="false">IF(J$4="建设",IF(6=0,0,I11)+3_资金筹措!J$8+3_资金筹措!J$9,0)</f>
        <v>0</v>
      </c>
      <c r="K11" s="20" t="n">
        <f aca="false">IF(K$4="建设",IF(7=0,0,J11)+3_资金筹措!K$8+3_资金筹措!K$9,0)</f>
        <v>0</v>
      </c>
      <c r="L11" s="20" t="n">
        <f aca="false">IF(L$4="建设",IF(8=0,0,K11)+3_资金筹措!L$8+3_资金筹措!L$9,0)</f>
        <v>0</v>
      </c>
      <c r="M11" s="20" t="n">
        <f aca="false">IF(M$4="建设",IF(9=0,0,L11)+3_资金筹措!M$8+3_资金筹措!M$9,0)</f>
        <v>0</v>
      </c>
      <c r="N11" s="20" t="n">
        <f aca="false">IF(N$4="建设",IF(10=0,0,M11)+3_资金筹措!N$8+3_资金筹措!N$9,0)</f>
        <v>0</v>
      </c>
      <c r="O11" s="20" t="n">
        <f aca="false">IF(O$4="建设",IF(11=0,0,N11)+3_资金筹措!O$8+3_资金筹措!O$9,0)</f>
        <v>0</v>
      </c>
      <c r="P11" s="20" t="n">
        <f aca="false">IF(P$4="建设",IF(12=0,0,O11)+3_资金筹措!P$8+3_资金筹措!P$9,0)</f>
        <v>0</v>
      </c>
      <c r="Q11" s="20" t="n">
        <f aca="false">IF(Q$4="建设",IF(13=0,0,P11)+3_资金筹措!Q$8+3_资金筹措!Q$9,0)</f>
        <v>0</v>
      </c>
      <c r="R11" s="20" t="n">
        <f aca="false">IF(R$4="建设",IF(14=0,0,Q11)+3_资金筹措!R$8+3_资金筹措!R$9,0)</f>
        <v>0</v>
      </c>
      <c r="S11" s="20" t="n">
        <f aca="false">IF(S$4="建设",IF(15=0,0,R11)+3_资金筹措!S$8+3_资金筹措!S$9,0)</f>
        <v>0</v>
      </c>
      <c r="T11" s="20" t="n">
        <f aca="false">IF(T$4="建设",IF(16=0,0,S11)+3_资金筹措!T$8+3_资金筹措!T$9,0)</f>
        <v>0</v>
      </c>
      <c r="U11" s="20" t="n">
        <f aca="false">IF(U$4="建设",IF(17=0,0,T11)+3_资金筹措!U$8+3_资金筹措!U$9,0)</f>
        <v>0</v>
      </c>
      <c r="V11" s="14"/>
    </row>
    <row r="12" customFormat="false" ht="15" hidden="false" customHeight="false" outlineLevel="0" collapsed="false">
      <c r="A12" s="13" t="s">
        <v>40</v>
      </c>
      <c r="B12" s="14" t="s">
        <v>798</v>
      </c>
      <c r="C12" s="14" t="s">
        <v>95</v>
      </c>
      <c r="D12" s="20" t="n">
        <f aca="false">IF(D$4="运营",5_折旧摊销!D$28,0)</f>
        <v>0</v>
      </c>
      <c r="E12" s="20" t="n">
        <f aca="false">IF(E$4="运营",5_折旧摊销!E$28,0)</f>
        <v>92275.0477012021</v>
      </c>
      <c r="F12" s="20" t="n">
        <f aca="false">IF(F$4="运营",5_折旧摊销!F$28,0)</f>
        <v>73256.0445857982</v>
      </c>
      <c r="G12" s="20" t="n">
        <f aca="false">IF(G$4="运营",5_折旧摊销!G$28,0)</f>
        <v>54237.0414703942</v>
      </c>
      <c r="H12" s="20" t="n">
        <f aca="false">IF(H$4="运营",5_折旧摊销!H$28,0)</f>
        <v>35218.0383549902</v>
      </c>
      <c r="I12" s="20" t="n">
        <f aca="false">IF(I$4="运营",5_折旧摊销!I$28,0)</f>
        <v>16199.0352395863</v>
      </c>
      <c r="J12" s="20" t="n">
        <f aca="false">IF(J$4="运营",5_折旧摊销!J$28,0)</f>
        <v>15205.288119093</v>
      </c>
      <c r="K12" s="20" t="n">
        <f aca="false">IF(K$4="运营",5_折旧摊销!K$28,0)</f>
        <v>14211.5409985997</v>
      </c>
      <c r="L12" s="20" t="n">
        <f aca="false">IF(L$4="运营",5_折旧摊销!L$28,0)</f>
        <v>13217.7938781064</v>
      </c>
      <c r="M12" s="20" t="n">
        <f aca="false">IF(M$4="运营",5_折旧摊销!M$28,0)</f>
        <v>12224.0467576131</v>
      </c>
      <c r="N12" s="20" t="n">
        <f aca="false">IF(N$4="运营",5_折旧摊销!N$28,0)</f>
        <v>11230.2996371198</v>
      </c>
      <c r="O12" s="20" t="n">
        <f aca="false">IF(O$4="运营",5_折旧摊销!O$28,0)</f>
        <v>0</v>
      </c>
      <c r="P12" s="20" t="n">
        <f aca="false">IF(P$4="运营",5_折旧摊销!P$28,0)</f>
        <v>0</v>
      </c>
      <c r="Q12" s="20" t="n">
        <f aca="false">IF(Q$4="运营",5_折旧摊销!Q$28,0)</f>
        <v>0</v>
      </c>
      <c r="R12" s="20" t="n">
        <f aca="false">IF(R$4="运营",5_折旧摊销!R$28,0)</f>
        <v>0</v>
      </c>
      <c r="S12" s="20" t="n">
        <f aca="false">IF(S$4="运营",5_折旧摊销!S$28,0)</f>
        <v>0</v>
      </c>
      <c r="T12" s="20" t="n">
        <f aca="false">IF(T$4="运营",5_折旧摊销!T$28,0)</f>
        <v>0</v>
      </c>
      <c r="U12" s="20" t="n">
        <f aca="false">IF(U$4="运营",5_折旧摊销!U$28,0)</f>
        <v>0</v>
      </c>
      <c r="V12" s="14"/>
    </row>
    <row r="13" customFormat="false" ht="15" hidden="false" customHeight="false" outlineLevel="0" collapsed="false">
      <c r="A13" s="13" t="s">
        <v>44</v>
      </c>
      <c r="B13" s="14" t="s">
        <v>799</v>
      </c>
      <c r="C13" s="14" t="s">
        <v>95</v>
      </c>
      <c r="D13" s="20" t="n">
        <f aca="false">IF(D$4="运营",5_折旧摊销!D$32,0)</f>
        <v>0</v>
      </c>
      <c r="E13" s="20" t="n">
        <f aca="false">IF(E$4="运营",5_折旧摊销!E$32,0)</f>
        <v>33.84</v>
      </c>
      <c r="F13" s="20" t="n">
        <f aca="false">IF(F$4="运营",5_折旧摊销!F$32,0)</f>
        <v>25.38</v>
      </c>
      <c r="G13" s="20" t="n">
        <f aca="false">IF(G$4="运营",5_折旧摊销!G$32,0)</f>
        <v>16.92</v>
      </c>
      <c r="H13" s="20" t="n">
        <f aca="false">IF(H$4="运营",5_折旧摊销!H$32,0)</f>
        <v>8.46</v>
      </c>
      <c r="I13" s="20" t="n">
        <f aca="false">IF(I$4="运营",5_折旧摊销!I$32,0)</f>
        <v>0</v>
      </c>
      <c r="J13" s="20" t="n">
        <f aca="false">IF(J$4="运营",5_折旧摊销!J$32,0)</f>
        <v>0</v>
      </c>
      <c r="K13" s="20" t="n">
        <f aca="false">IF(K$4="运营",5_折旧摊销!K$32,0)</f>
        <v>0</v>
      </c>
      <c r="L13" s="20" t="n">
        <f aca="false">IF(L$4="运营",5_折旧摊销!L$32,0)</f>
        <v>0</v>
      </c>
      <c r="M13" s="20" t="n">
        <f aca="false">IF(M$4="运营",5_折旧摊销!M$32,0)</f>
        <v>0</v>
      </c>
      <c r="N13" s="20" t="n">
        <f aca="false">IF(N$4="运营",5_折旧摊销!N$32,0)</f>
        <v>0</v>
      </c>
      <c r="O13" s="20" t="n">
        <f aca="false">IF(O$4="运营",5_折旧摊销!O$32,0)</f>
        <v>0</v>
      </c>
      <c r="P13" s="20" t="n">
        <f aca="false">IF(P$4="运营",5_折旧摊销!P$32,0)</f>
        <v>0</v>
      </c>
      <c r="Q13" s="20" t="n">
        <f aca="false">IF(Q$4="运营",5_折旧摊销!Q$32,0)</f>
        <v>0</v>
      </c>
      <c r="R13" s="20" t="n">
        <f aca="false">IF(R$4="运营",5_折旧摊销!R$32,0)</f>
        <v>0</v>
      </c>
      <c r="S13" s="20" t="n">
        <f aca="false">IF(S$4="运营",5_折旧摊销!S$32,0)</f>
        <v>0</v>
      </c>
      <c r="T13" s="20" t="n">
        <f aca="false">IF(T$4="运营",5_折旧摊销!T$32,0)</f>
        <v>0</v>
      </c>
      <c r="U13" s="20" t="n">
        <f aca="false">IF(U$4="运营",5_折旧摊销!U$32,0)</f>
        <v>0</v>
      </c>
      <c r="V13" s="14"/>
    </row>
    <row r="14" customFormat="false" ht="15" hidden="false" customHeight="false" outlineLevel="0" collapsed="false">
      <c r="A14" s="13" t="s">
        <v>48</v>
      </c>
      <c r="B14" s="14" t="s">
        <v>715</v>
      </c>
      <c r="C14" s="14" t="s">
        <v>95</v>
      </c>
      <c r="D14" s="20" t="n">
        <f aca="false">6_收入税金!D$16</f>
        <v>0</v>
      </c>
      <c r="E14" s="20" t="n">
        <f aca="false">6_收入税金!E$16</f>
        <v>11531.5090006115</v>
      </c>
      <c r="F14" s="20" t="n">
        <f aca="false">6_收入税金!F$16</f>
        <v>10296.5210256334</v>
      </c>
      <c r="G14" s="20" t="n">
        <f aca="false">6_收入税金!G$16</f>
        <v>9061.53305065527</v>
      </c>
      <c r="H14" s="20" t="n">
        <f aca="false">6_收入税金!H$16</f>
        <v>7879.89413228092</v>
      </c>
      <c r="I14" s="20" t="n">
        <f aca="false">6_收入税金!I$16</f>
        <v>6698.25521390657</v>
      </c>
      <c r="J14" s="20" t="n">
        <f aca="false">6_收入税金!J$16</f>
        <v>5516.61629553221</v>
      </c>
      <c r="K14" s="20" t="n">
        <f aca="false">6_收入税金!K$16</f>
        <v>4388.32643376164</v>
      </c>
      <c r="L14" s="20" t="n">
        <f aca="false">6_收入税金!L$16</f>
        <v>3260.03657199106</v>
      </c>
      <c r="M14" s="20" t="n">
        <f aca="false">6_收入税金!M$16</f>
        <v>2131.74671022048</v>
      </c>
      <c r="N14" s="20" t="n">
        <f aca="false">6_收入税金!N$16</f>
        <v>1003.4568484499</v>
      </c>
      <c r="O14" s="20" t="n">
        <f aca="false">6_收入税金!O$16</f>
        <v>0</v>
      </c>
      <c r="P14" s="20" t="n">
        <f aca="false">6_收入税金!P$16</f>
        <v>0</v>
      </c>
      <c r="Q14" s="20" t="n">
        <f aca="false">6_收入税金!Q$16</f>
        <v>0</v>
      </c>
      <c r="R14" s="20" t="n">
        <f aca="false">6_收入税金!R$16</f>
        <v>0</v>
      </c>
      <c r="S14" s="20" t="n">
        <f aca="false">6_收入税金!S$16</f>
        <v>0</v>
      </c>
      <c r="T14" s="20" t="n">
        <f aca="false">6_收入税金!T$16</f>
        <v>0</v>
      </c>
      <c r="U14" s="20" t="n">
        <f aca="false">6_收入税金!U$16</f>
        <v>0</v>
      </c>
      <c r="V14" s="14"/>
    </row>
    <row r="15" customFormat="false" ht="15" hidden="false" customHeight="false" outlineLevel="0" collapsed="false">
      <c r="A15" s="66" t="s">
        <v>30</v>
      </c>
      <c r="B15" s="50" t="s">
        <v>800</v>
      </c>
      <c r="C15" s="49" t="s">
        <v>95</v>
      </c>
      <c r="D15" s="51" t="n">
        <f aca="false">D10+D11+D12+D13+D14</f>
        <v>123953.261151915</v>
      </c>
      <c r="E15" s="51" t="n">
        <f aca="false">E10+E11+E12+E13+E14</f>
        <v>111491.752356581</v>
      </c>
      <c r="F15" s="51" t="n">
        <f aca="false">F10+F11+F12+F13+F14</f>
        <v>100251.280683114</v>
      </c>
      <c r="G15" s="51" t="n">
        <f aca="false">G10+G11+G12+G13+G14</f>
        <v>89091.5434705936</v>
      </c>
      <c r="H15" s="51" t="n">
        <f aca="false">H10+H11+H12+H13+H14</f>
        <v>77354.5150981325</v>
      </c>
      <c r="I15" s="51" t="n">
        <f aca="false">I10+I11+I12+I13+I14</f>
        <v>65929.3465091271</v>
      </c>
      <c r="J15" s="51" t="n">
        <f aca="false">J10+J11+J12+J13+J14</f>
        <v>70559.6664525429</v>
      </c>
      <c r="K15" s="51" t="n">
        <f aca="false">K10+K11+K12+K13+K14</f>
        <v>72718.1719458104</v>
      </c>
      <c r="L15" s="51" t="n">
        <f aca="false">L10+L11+L12+L13+L14</f>
        <v>75110.5722766697</v>
      </c>
      <c r="M15" s="51" t="n">
        <f aca="false">M10+M11+M12+M13+M14</f>
        <v>77736.8674451209</v>
      </c>
      <c r="N15" s="51" t="n">
        <f aca="false">N10+N11+N12+N13+N14</f>
        <v>79229.43839456</v>
      </c>
      <c r="O15" s="51" t="n">
        <f aca="false">O10+O11+O12+O13+O14</f>
        <v>64887.5816550488</v>
      </c>
      <c r="P15" s="51" t="n">
        <f aca="false">P10+P11+P12+P13+P14</f>
        <v>64887.5816550488</v>
      </c>
      <c r="Q15" s="51" t="n">
        <f aca="false">Q10+Q11+Q12+Q13+Q14</f>
        <v>64887.5816550488</v>
      </c>
      <c r="R15" s="51" t="n">
        <f aca="false">R10+R11+R12+R13+R14</f>
        <v>64887.5816550488</v>
      </c>
      <c r="S15" s="51" t="n">
        <f aca="false">S10+S11+S12+S13+S14</f>
        <v>64887.5816550488</v>
      </c>
      <c r="T15" s="51" t="n">
        <f aca="false">T10+T11+T12+T13+T14</f>
        <v>64887.5816550488</v>
      </c>
      <c r="U15" s="51" t="n">
        <f aca="false">U10+U11+U12+U13+U14</f>
        <v>64887.5816550488</v>
      </c>
      <c r="V15" s="49"/>
    </row>
    <row r="16" customFormat="false" ht="15" hidden="false" customHeight="false" outlineLevel="0" collapsed="false">
      <c r="A16" s="13" t="s">
        <v>58</v>
      </c>
      <c r="B16" s="14" t="s">
        <v>801</v>
      </c>
      <c r="C16" s="14" t="s">
        <v>95</v>
      </c>
      <c r="D16" s="20" t="n">
        <f aca="false">2_流动资金!D$11</f>
        <v>0</v>
      </c>
      <c r="E16" s="20" t="n">
        <f aca="false">2_流动资金!E$11</f>
        <v>147.838327657991</v>
      </c>
      <c r="F16" s="20" t="n">
        <f aca="false">2_流动资金!F$11</f>
        <v>154.358744507548</v>
      </c>
      <c r="G16" s="20" t="n">
        <f aca="false">2_流动资金!G$11</f>
        <v>154.358744507548</v>
      </c>
      <c r="H16" s="20" t="n">
        <f aca="false">2_流动资金!H$11</f>
        <v>154.358744507548</v>
      </c>
      <c r="I16" s="20" t="n">
        <f aca="false">2_流动资金!I$11</f>
        <v>154.358744507548</v>
      </c>
      <c r="J16" s="20" t="n">
        <f aca="false">2_流动资金!J$11</f>
        <v>154.358744507548</v>
      </c>
      <c r="K16" s="20" t="n">
        <f aca="false">2_流动资金!K$11</f>
        <v>154.358744507548</v>
      </c>
      <c r="L16" s="20" t="n">
        <f aca="false">2_流动资金!L$11</f>
        <v>154.358744507548</v>
      </c>
      <c r="M16" s="20" t="n">
        <f aca="false">2_流动资金!M$11</f>
        <v>154.358744507548</v>
      </c>
      <c r="N16" s="20" t="n">
        <f aca="false">2_流动资金!N$11</f>
        <v>154.358744507548</v>
      </c>
      <c r="O16" s="20" t="n">
        <f aca="false">2_流动资金!O$11</f>
        <v>0</v>
      </c>
      <c r="P16" s="20" t="n">
        <f aca="false">2_流动资金!P$11</f>
        <v>0</v>
      </c>
      <c r="Q16" s="20" t="n">
        <f aca="false">2_流动资金!Q$11</f>
        <v>0</v>
      </c>
      <c r="R16" s="20" t="n">
        <f aca="false">2_流动资金!R$11</f>
        <v>0</v>
      </c>
      <c r="S16" s="20" t="n">
        <f aca="false">2_流动资金!S$11</f>
        <v>0</v>
      </c>
      <c r="T16" s="20" t="n">
        <f aca="false">2_流动资金!T$11</f>
        <v>0</v>
      </c>
      <c r="U16" s="20" t="n">
        <f aca="false">2_流动资金!U$11</f>
        <v>0</v>
      </c>
      <c r="V16" s="14"/>
    </row>
    <row r="17" customFormat="false" ht="15" hidden="false" customHeight="false" outlineLevel="0" collapsed="false">
      <c r="A17" s="13" t="s">
        <v>61</v>
      </c>
      <c r="B17" s="14" t="s">
        <v>802</v>
      </c>
      <c r="C17" s="14" t="s">
        <v>95</v>
      </c>
      <c r="D17" s="20" t="n">
        <f aca="false">11_还本付息!D$12</f>
        <v>103953.261151915</v>
      </c>
      <c r="E17" s="20" t="n">
        <f aca="false">11_还本付息!E$12</f>
        <v>93557.9350367235</v>
      </c>
      <c r="F17" s="20" t="n">
        <f aca="false">11_还本付息!F$12</f>
        <v>83162.608921532</v>
      </c>
      <c r="G17" s="20" t="n">
        <f aca="false">11_还本付息!G$12</f>
        <v>72767.2828063405</v>
      </c>
      <c r="H17" s="20" t="n">
        <f aca="false">11_还本付息!H$12</f>
        <v>62371.956691149</v>
      </c>
      <c r="I17" s="20" t="n">
        <f aca="false">11_还本付息!I$12</f>
        <v>51976.6305759575</v>
      </c>
      <c r="J17" s="20" t="n">
        <f aca="false">11_还本付息!J$12</f>
        <v>41581.304460766</v>
      </c>
      <c r="K17" s="20" t="n">
        <f aca="false">11_还本付息!K$12</f>
        <v>31185.9783455745</v>
      </c>
      <c r="L17" s="20" t="n">
        <f aca="false">11_还本付息!L$12</f>
        <v>20790.652230383</v>
      </c>
      <c r="M17" s="20" t="n">
        <f aca="false">11_还本付息!M$12</f>
        <v>10395.3261151915</v>
      </c>
      <c r="N17" s="20" t="n">
        <f aca="false">11_还本付息!N$12</f>
        <v>0</v>
      </c>
      <c r="O17" s="20" t="n">
        <f aca="false">11_还本付息!O$12</f>
        <v>0</v>
      </c>
      <c r="P17" s="20" t="n">
        <f aca="false">11_还本付息!P$12</f>
        <v>0</v>
      </c>
      <c r="Q17" s="20" t="n">
        <f aca="false">11_还本付息!Q$12</f>
        <v>0</v>
      </c>
      <c r="R17" s="20" t="n">
        <f aca="false">11_还本付息!R$12</f>
        <v>0</v>
      </c>
      <c r="S17" s="20" t="n">
        <f aca="false">11_还本付息!S$12</f>
        <v>0</v>
      </c>
      <c r="T17" s="20" t="n">
        <f aca="false">11_还本付息!T$12</f>
        <v>0</v>
      </c>
      <c r="U17" s="20" t="n">
        <f aca="false">11_还本付息!U$12</f>
        <v>0</v>
      </c>
      <c r="V17" s="14"/>
    </row>
    <row r="18" customFormat="false" ht="15" hidden="false" customHeight="false" outlineLevel="0" collapsed="false">
      <c r="A18" s="13" t="s">
        <v>65</v>
      </c>
      <c r="B18" s="14" t="s">
        <v>803</v>
      </c>
      <c r="C18" s="14" t="s">
        <v>95</v>
      </c>
      <c r="D18" s="20" t="n">
        <f aca="false">11_还本付息!D$18</f>
        <v>0</v>
      </c>
      <c r="E18" s="20" t="n">
        <f aca="false">11_还本付息!E$18</f>
        <v>1212.29830188679</v>
      </c>
      <c r="F18" s="20" t="n">
        <f aca="false">11_还本付息!F$18</f>
        <v>1367.61905660377</v>
      </c>
      <c r="G18" s="20" t="n">
        <f aca="false">11_还本付息!G$18</f>
        <v>1367.61905660377</v>
      </c>
      <c r="H18" s="20" t="n">
        <f aca="false">11_还本付息!H$18</f>
        <v>1367.61905660377</v>
      </c>
      <c r="I18" s="20" t="n">
        <f aca="false">11_还本付息!I$18</f>
        <v>1367.61905660377</v>
      </c>
      <c r="J18" s="20" t="n">
        <f aca="false">11_还本付息!J$18</f>
        <v>1367.61905660377</v>
      </c>
      <c r="K18" s="20" t="n">
        <f aca="false">11_还本付息!K$18</f>
        <v>1367.61905660377</v>
      </c>
      <c r="L18" s="20" t="n">
        <f aca="false">11_还本付息!L$18</f>
        <v>1367.61905660377</v>
      </c>
      <c r="M18" s="20" t="n">
        <f aca="false">11_还本付息!M$18</f>
        <v>1367.61905660377</v>
      </c>
      <c r="N18" s="20" t="n">
        <f aca="false">11_还本付息!N$18</f>
        <v>0</v>
      </c>
      <c r="O18" s="20" t="n">
        <f aca="false">11_还本付息!O$18</f>
        <v>0</v>
      </c>
      <c r="P18" s="20" t="n">
        <f aca="false">11_还本付息!P$18</f>
        <v>0</v>
      </c>
      <c r="Q18" s="20" t="n">
        <f aca="false">11_还本付息!Q$18</f>
        <v>0</v>
      </c>
      <c r="R18" s="20" t="n">
        <f aca="false">11_还本付息!R$18</f>
        <v>0</v>
      </c>
      <c r="S18" s="20" t="n">
        <f aca="false">11_还本付息!S$18</f>
        <v>0</v>
      </c>
      <c r="T18" s="20" t="n">
        <f aca="false">11_还本付息!T$18</f>
        <v>0</v>
      </c>
      <c r="U18" s="20" t="n">
        <f aca="false">11_还本付息!U$18</f>
        <v>0</v>
      </c>
      <c r="V18" s="14"/>
    </row>
    <row r="19" customFormat="false" ht="15" hidden="false" customHeight="false" outlineLevel="0" collapsed="false">
      <c r="A19" s="13" t="s">
        <v>56</v>
      </c>
      <c r="B19" s="54" t="s">
        <v>804</v>
      </c>
      <c r="C19" s="14" t="s">
        <v>95</v>
      </c>
      <c r="D19" s="55" t="n">
        <f aca="false">D16+D17+D18</f>
        <v>103953.261151915</v>
      </c>
      <c r="E19" s="55" t="n">
        <f aca="false">E16+E17+E18</f>
        <v>94918.0716662683</v>
      </c>
      <c r="F19" s="55" t="n">
        <f aca="false">F16+F17+F18</f>
        <v>84684.5867226433</v>
      </c>
      <c r="G19" s="55" t="n">
        <f aca="false">G16+G17+G18</f>
        <v>74289.2606074518</v>
      </c>
      <c r="H19" s="55" t="n">
        <f aca="false">H16+H17+H18</f>
        <v>63893.9344922603</v>
      </c>
      <c r="I19" s="55" t="n">
        <f aca="false">I16+I17+I18</f>
        <v>53498.6083770688</v>
      </c>
      <c r="J19" s="55" t="n">
        <f aca="false">J16+J17+J18</f>
        <v>43103.2822618773</v>
      </c>
      <c r="K19" s="55" t="n">
        <f aca="false">K16+K17+K18</f>
        <v>32707.9561466858</v>
      </c>
      <c r="L19" s="55" t="n">
        <f aca="false">L16+L17+L18</f>
        <v>22312.6300314943</v>
      </c>
      <c r="M19" s="55" t="n">
        <f aca="false">M16+M17+M18</f>
        <v>11917.3039163028</v>
      </c>
      <c r="N19" s="55" t="n">
        <f aca="false">N16+N17+N18</f>
        <v>154.358744507548</v>
      </c>
      <c r="O19" s="55" t="n">
        <f aca="false">O16+O17+O18</f>
        <v>0</v>
      </c>
      <c r="P19" s="55" t="n">
        <f aca="false">P16+P17+P18</f>
        <v>0</v>
      </c>
      <c r="Q19" s="55" t="n">
        <f aca="false">Q16+Q17+Q18</f>
        <v>0</v>
      </c>
      <c r="R19" s="55" t="n">
        <f aca="false">R16+R17+R18</f>
        <v>0</v>
      </c>
      <c r="S19" s="55" t="n">
        <f aca="false">S16+S17+S18</f>
        <v>0</v>
      </c>
      <c r="T19" s="55" t="n">
        <f aca="false">T16+T17+T18</f>
        <v>0</v>
      </c>
      <c r="U19" s="55" t="n">
        <f aca="false">U16+U17+U18</f>
        <v>0</v>
      </c>
      <c r="V19" s="14"/>
    </row>
    <row r="20" customFormat="false" ht="15" hidden="false" customHeight="false" outlineLevel="0" collapsed="false">
      <c r="A20" s="13" t="s">
        <v>80</v>
      </c>
      <c r="B20" s="14" t="s">
        <v>805</v>
      </c>
      <c r="C20" s="14" t="s">
        <v>95</v>
      </c>
      <c r="D20" s="20" t="n">
        <f aca="false">3_资金筹措!D$15</f>
        <v>20000</v>
      </c>
      <c r="E20" s="20" t="n">
        <f aca="false">IF(1=0,0,D20)+3_资金筹措!E$15</f>
        <v>20519.5564150943</v>
      </c>
      <c r="F20" s="20" t="n">
        <f aca="false">IF(2=0,0,E20)+3_资金筹措!F$15</f>
        <v>20586.1224528302</v>
      </c>
      <c r="G20" s="20" t="n">
        <f aca="false">IF(3=0,0,F20)+3_资金筹措!G$15</f>
        <v>20586.1224528302</v>
      </c>
      <c r="H20" s="20" t="n">
        <f aca="false">IF(4=0,0,G20)+3_资金筹措!H$15</f>
        <v>20586.1224528302</v>
      </c>
      <c r="I20" s="20" t="n">
        <f aca="false">IF(5=0,0,H20)+3_资金筹措!I$15</f>
        <v>20586.1224528302</v>
      </c>
      <c r="J20" s="20" t="n">
        <f aca="false">IF(6=0,0,I20)+3_资金筹措!J$15</f>
        <v>20586.1224528302</v>
      </c>
      <c r="K20" s="20" t="n">
        <f aca="false">IF(7=0,0,J20)+3_资金筹措!K$15</f>
        <v>20586.1224528302</v>
      </c>
      <c r="L20" s="20" t="n">
        <f aca="false">IF(8=0,0,K20)+3_资金筹措!L$15</f>
        <v>20586.1224528302</v>
      </c>
      <c r="M20" s="20" t="n">
        <f aca="false">IF(9=0,0,L20)+3_资金筹措!M$15</f>
        <v>20586.1224528302</v>
      </c>
      <c r="N20" s="20" t="n">
        <f aca="false">IF(10=0,0,M20)+3_资金筹措!N$15</f>
        <v>20586.1224528302</v>
      </c>
      <c r="O20" s="20" t="n">
        <f aca="false">IF(11=0,0,N20)+3_资金筹措!O$15</f>
        <v>20586.1224528302</v>
      </c>
      <c r="P20" s="20" t="n">
        <f aca="false">IF(12=0,0,O20)+3_资金筹措!P$15</f>
        <v>20586.1224528302</v>
      </c>
      <c r="Q20" s="20" t="n">
        <f aca="false">IF(13=0,0,P20)+3_资金筹措!Q$15</f>
        <v>20586.1224528302</v>
      </c>
      <c r="R20" s="20" t="n">
        <f aca="false">IF(14=0,0,Q20)+3_资金筹措!R$15</f>
        <v>20586.1224528302</v>
      </c>
      <c r="S20" s="20" t="n">
        <f aca="false">IF(15=0,0,R20)+3_资金筹措!S$15</f>
        <v>20586.1224528302</v>
      </c>
      <c r="T20" s="20" t="n">
        <f aca="false">IF(16=0,0,S20)+3_资金筹措!T$15</f>
        <v>20586.1224528302</v>
      </c>
      <c r="U20" s="20" t="n">
        <f aca="false">IF(17=0,0,T20)+3_资金筹措!U$15</f>
        <v>20586.1224528302</v>
      </c>
      <c r="V20" s="14"/>
    </row>
    <row r="21" customFormat="false" ht="15" hidden="false" customHeight="false" outlineLevel="0" collapsed="false">
      <c r="A21" s="13" t="s">
        <v>84</v>
      </c>
      <c r="B21" s="14" t="s">
        <v>728</v>
      </c>
      <c r="C21" s="14" t="s">
        <v>95</v>
      </c>
      <c r="D21" s="20" t="n">
        <f aca="false">7_利润!D$17</f>
        <v>0</v>
      </c>
      <c r="E21" s="20" t="n">
        <f aca="false">7_利润!E$17</f>
        <v>0</v>
      </c>
      <c r="F21" s="20" t="n">
        <f aca="false">7_利润!F$17</f>
        <v>0</v>
      </c>
      <c r="G21" s="20" t="n">
        <f aca="false">7_利润!G$17</f>
        <v>0</v>
      </c>
      <c r="H21" s="20" t="n">
        <f aca="false">7_利润!H$17</f>
        <v>0</v>
      </c>
      <c r="I21" s="20" t="n">
        <f aca="false">7_利润!I$17</f>
        <v>0</v>
      </c>
      <c r="J21" s="20" t="n">
        <f aca="false">7_利润!J$17</f>
        <v>1502.56460586074</v>
      </c>
      <c r="K21" s="20" t="n">
        <f aca="false">7_利润!K$17</f>
        <v>2757.94776670664</v>
      </c>
      <c r="L21" s="20" t="n">
        <f aca="false">7_利润!L$17</f>
        <v>4036.72041131172</v>
      </c>
      <c r="M21" s="20" t="n">
        <f aca="false">7_利润!M$17</f>
        <v>5338.88253967598</v>
      </c>
      <c r="N21" s="20" t="n">
        <f aca="false">7_利润!N$17</f>
        <v>6664.43415179943</v>
      </c>
      <c r="O21" s="20" t="n">
        <f aca="false">7_利润!O$17</f>
        <v>6664.43415179943</v>
      </c>
      <c r="P21" s="20" t="n">
        <f aca="false">7_利润!P$17</f>
        <v>6664.43415179943</v>
      </c>
      <c r="Q21" s="20" t="n">
        <f aca="false">7_利润!Q$17</f>
        <v>6664.43415179943</v>
      </c>
      <c r="R21" s="20" t="n">
        <f aca="false">7_利润!R$17</f>
        <v>6664.43415179943</v>
      </c>
      <c r="S21" s="20" t="n">
        <f aca="false">7_利润!S$17</f>
        <v>6664.43415179943</v>
      </c>
      <c r="T21" s="20" t="n">
        <f aca="false">7_利润!T$17</f>
        <v>6664.43415179943</v>
      </c>
      <c r="U21" s="20" t="n">
        <f aca="false">7_利润!U$17</f>
        <v>6664.43415179943</v>
      </c>
      <c r="V21" s="14"/>
    </row>
    <row r="22" customFormat="false" ht="15" hidden="false" customHeight="false" outlineLevel="0" collapsed="false">
      <c r="A22" s="13" t="s">
        <v>87</v>
      </c>
      <c r="B22" s="14" t="s">
        <v>730</v>
      </c>
      <c r="C22" s="14" t="s">
        <v>95</v>
      </c>
      <c r="D22" s="20" t="n">
        <f aca="false">7_利润!D$19</f>
        <v>0</v>
      </c>
      <c r="E22" s="20" t="n">
        <f aca="false">7_利润!E$19</f>
        <v>-3945.87572478183</v>
      </c>
      <c r="F22" s="20" t="n">
        <f aca="false">7_利润!F$19</f>
        <v>-5019.4284923592</v>
      </c>
      <c r="G22" s="20" t="n">
        <f aca="false">7_利润!G$19</f>
        <v>-5783.83958968838</v>
      </c>
      <c r="H22" s="20" t="n">
        <f aca="false">7_利润!H$19</f>
        <v>-7125.54184695804</v>
      </c>
      <c r="I22" s="20" t="n">
        <f aca="false">7_利润!I$19</f>
        <v>-8155.38432077195</v>
      </c>
      <c r="J22" s="20" t="n">
        <f aca="false">7_利润!J$19</f>
        <v>5367.69713197467</v>
      </c>
      <c r="K22" s="20" t="n">
        <f aca="false">7_利润!K$19</f>
        <v>16666.1455795878</v>
      </c>
      <c r="L22" s="20" t="n">
        <f aca="false">7_利润!L$19</f>
        <v>28175.0993810335</v>
      </c>
      <c r="M22" s="20" t="n">
        <f aca="false">7_利润!M$19</f>
        <v>39894.5585363119</v>
      </c>
      <c r="N22" s="20" t="n">
        <f aca="false">7_利润!N$19</f>
        <v>51824.5230454229</v>
      </c>
      <c r="O22" s="20" t="n">
        <f aca="false">7_利润!O$19</f>
        <v>51824.5230454229</v>
      </c>
      <c r="P22" s="20" t="n">
        <f aca="false">7_利润!P$19</f>
        <v>51824.5230454229</v>
      </c>
      <c r="Q22" s="20" t="n">
        <f aca="false">7_利润!Q$19</f>
        <v>51824.5230454229</v>
      </c>
      <c r="R22" s="20" t="n">
        <f aca="false">7_利润!R$19</f>
        <v>51824.5230454229</v>
      </c>
      <c r="S22" s="20" t="n">
        <f aca="false">7_利润!S$19</f>
        <v>51824.5230454229</v>
      </c>
      <c r="T22" s="20" t="n">
        <f aca="false">7_利润!T$19</f>
        <v>51824.5230454229</v>
      </c>
      <c r="U22" s="20" t="n">
        <f aca="false">7_利润!U$19</f>
        <v>51824.5230454229</v>
      </c>
      <c r="V22" s="14"/>
    </row>
    <row r="23" customFormat="false" ht="15" hidden="false" customHeight="false" outlineLevel="0" collapsed="false">
      <c r="A23" s="13" t="s">
        <v>78</v>
      </c>
      <c r="B23" s="54" t="s">
        <v>806</v>
      </c>
      <c r="C23" s="14" t="s">
        <v>95</v>
      </c>
      <c r="D23" s="55" t="n">
        <f aca="false">D20+D21+D22</f>
        <v>20000</v>
      </c>
      <c r="E23" s="55" t="n">
        <f aca="false">E20+E21+E22</f>
        <v>16573.6806903125</v>
      </c>
      <c r="F23" s="55" t="n">
        <f aca="false">F20+F21+F22</f>
        <v>15566.693960471</v>
      </c>
      <c r="G23" s="55" t="n">
        <f aca="false">G20+G21+G22</f>
        <v>14802.2828631418</v>
      </c>
      <c r="H23" s="55" t="n">
        <f aca="false">H20+H21+H22</f>
        <v>13460.5806058722</v>
      </c>
      <c r="I23" s="55" t="n">
        <f aca="false">I20+I21+I22</f>
        <v>12430.7381320582</v>
      </c>
      <c r="J23" s="55" t="n">
        <f aca="false">J20+J21+J22</f>
        <v>27456.3841906656</v>
      </c>
      <c r="K23" s="55" t="n">
        <f aca="false">K20+K21+K22</f>
        <v>40010.2157991246</v>
      </c>
      <c r="L23" s="55" t="n">
        <f aca="false">L20+L21+L22</f>
        <v>52797.9422451754</v>
      </c>
      <c r="M23" s="55" t="n">
        <f aca="false">M20+M21+M22</f>
        <v>65819.5635288181</v>
      </c>
      <c r="N23" s="55" t="n">
        <f aca="false">N20+N21+N22</f>
        <v>79075.0796500525</v>
      </c>
      <c r="O23" s="55" t="n">
        <f aca="false">O20+O21+O22</f>
        <v>79075.0796500525</v>
      </c>
      <c r="P23" s="55" t="n">
        <f aca="false">P20+P21+P22</f>
        <v>79075.0796500525</v>
      </c>
      <c r="Q23" s="55" t="n">
        <f aca="false">Q20+Q21+Q22</f>
        <v>79075.0796500525</v>
      </c>
      <c r="R23" s="55" t="n">
        <f aca="false">R20+R21+R22</f>
        <v>79075.0796500525</v>
      </c>
      <c r="S23" s="55" t="n">
        <f aca="false">S20+S21+S22</f>
        <v>79075.0796500525</v>
      </c>
      <c r="T23" s="55" t="n">
        <f aca="false">T20+T21+T22</f>
        <v>79075.0796500525</v>
      </c>
      <c r="U23" s="55" t="n">
        <f aca="false">U20+U21+U22</f>
        <v>79075.0796500525</v>
      </c>
      <c r="V23" s="14"/>
    </row>
    <row r="24" customFormat="false" ht="15" hidden="false" customHeight="false" outlineLevel="0" collapsed="false">
      <c r="A24" s="49"/>
      <c r="B24" s="50" t="s">
        <v>807</v>
      </c>
      <c r="C24" s="49" t="s">
        <v>95</v>
      </c>
      <c r="D24" s="51" t="n">
        <f aca="false">D19+D23</f>
        <v>123953.261151915</v>
      </c>
      <c r="E24" s="51" t="n">
        <f aca="false">E19+E23</f>
        <v>111491.752356581</v>
      </c>
      <c r="F24" s="51" t="n">
        <f aca="false">F19+F23</f>
        <v>100251.280683114</v>
      </c>
      <c r="G24" s="51" t="n">
        <f aca="false">G19+G23</f>
        <v>89091.5434705936</v>
      </c>
      <c r="H24" s="51" t="n">
        <f aca="false">H19+H23</f>
        <v>77354.5150981325</v>
      </c>
      <c r="I24" s="51" t="n">
        <f aca="false">I19+I23</f>
        <v>65929.3465091271</v>
      </c>
      <c r="J24" s="51" t="n">
        <f aca="false">J19+J23</f>
        <v>70559.6664525429</v>
      </c>
      <c r="K24" s="51" t="n">
        <f aca="false">K19+K23</f>
        <v>72718.1719458104</v>
      </c>
      <c r="L24" s="51" t="n">
        <f aca="false">L19+L23</f>
        <v>75110.5722766697</v>
      </c>
      <c r="M24" s="51" t="n">
        <f aca="false">M19+M23</f>
        <v>77736.8674451209</v>
      </c>
      <c r="N24" s="51" t="n">
        <f aca="false">N19+N23</f>
        <v>79229.43839456</v>
      </c>
      <c r="O24" s="51" t="n">
        <f aca="false">O19+O23</f>
        <v>79075.0796500525</v>
      </c>
      <c r="P24" s="51" t="n">
        <f aca="false">P19+P23</f>
        <v>79075.0796500525</v>
      </c>
      <c r="Q24" s="51" t="n">
        <f aca="false">Q19+Q23</f>
        <v>79075.0796500525</v>
      </c>
      <c r="R24" s="51" t="n">
        <f aca="false">R19+R23</f>
        <v>79075.0796500525</v>
      </c>
      <c r="S24" s="51" t="n">
        <f aca="false">S19+S23</f>
        <v>79075.0796500525</v>
      </c>
      <c r="T24" s="51" t="n">
        <f aca="false">T19+T23</f>
        <v>79075.0796500525</v>
      </c>
      <c r="U24" s="51" t="n">
        <f aca="false">U19+U23</f>
        <v>79075.0796500525</v>
      </c>
      <c r="V24" s="49"/>
    </row>
    <row r="25" customFormat="false" ht="15" hidden="false" customHeight="false" outlineLevel="0" collapsed="false">
      <c r="A25" s="14"/>
      <c r="B25" s="14" t="s">
        <v>808</v>
      </c>
      <c r="C25" s="14" t="s">
        <v>95</v>
      </c>
      <c r="D25" s="46" t="n">
        <f aca="false">IF(D$4="",0,D15-D24)</f>
        <v>0</v>
      </c>
      <c r="E25" s="46" t="n">
        <f aca="false">IF(E$4="",0,E15-E24)</f>
        <v>0</v>
      </c>
      <c r="F25" s="46" t="n">
        <f aca="false">IF(F$4="",0,F15-F24)</f>
        <v>0</v>
      </c>
      <c r="G25" s="46" t="n">
        <f aca="false">IF(G$4="",0,G15-G24)</f>
        <v>0</v>
      </c>
      <c r="H25" s="46" t="n">
        <f aca="false">IF(H$4="",0,H15-H24)</f>
        <v>0</v>
      </c>
      <c r="I25" s="46" t="n">
        <f aca="false">IF(I$4="",0,I15-I24)</f>
        <v>0</v>
      </c>
      <c r="J25" s="46" t="n">
        <f aca="false">IF(J$4="",0,J15-J24)</f>
        <v>0</v>
      </c>
      <c r="K25" s="46" t="n">
        <f aca="false">IF(K$4="",0,K15-K24)</f>
        <v>0</v>
      </c>
      <c r="L25" s="46" t="n">
        <f aca="false">IF(L$4="",0,L15-L24)</f>
        <v>0</v>
      </c>
      <c r="M25" s="46" t="n">
        <f aca="false">IF(M$4="",0,M15-M24)</f>
        <v>0</v>
      </c>
      <c r="N25" s="46" t="n">
        <f aca="false">IF(N$4="",0,N15-N24)</f>
        <v>0</v>
      </c>
      <c r="O25" s="46" t="n">
        <f aca="false">IF(O$4="",0,O15-O24)</f>
        <v>0</v>
      </c>
      <c r="P25" s="46" t="n">
        <f aca="false">IF(P$4="",0,P15-P24)</f>
        <v>0</v>
      </c>
      <c r="Q25" s="46" t="n">
        <f aca="false">IF(Q$4="",0,Q15-Q24)</f>
        <v>0</v>
      </c>
      <c r="R25" s="46" t="n">
        <f aca="false">IF(R$4="",0,R15-R24)</f>
        <v>0</v>
      </c>
      <c r="S25" s="46" t="n">
        <f aca="false">IF(S$4="",0,S15-S24)</f>
        <v>0</v>
      </c>
      <c r="T25" s="46" t="n">
        <f aca="false">IF(T$4="",0,T15-T24)</f>
        <v>0</v>
      </c>
      <c r="U25" s="46" t="n">
        <f aca="false">IF(U$4="",0,U15-U24)</f>
        <v>0</v>
      </c>
      <c r="V25" s="14"/>
    </row>
    <row r="26" customFormat="false" ht="15" hidden="false" customHeight="false" outlineLevel="0" collapsed="false">
      <c r="A26" s="14"/>
      <c r="B26" s="14" t="s">
        <v>809</v>
      </c>
      <c r="C26" s="14"/>
      <c r="D26" s="47" t="n">
        <f aca="false">IF(D15&gt;0,D19/D15,0)</f>
        <v>0.8386488599482</v>
      </c>
      <c r="E26" s="47" t="n">
        <f aca="false">IF(E15&gt;0,E19/E15,0)</f>
        <v>0.851346127942223</v>
      </c>
      <c r="F26" s="47" t="n">
        <f aca="false">IF(F15&gt;0,F19/F15,0)</f>
        <v>0.844723240896284</v>
      </c>
      <c r="G26" s="47" t="n">
        <f aca="false">IF(G15&gt;0,G19/G15,0)</f>
        <v>0.833853110109967</v>
      </c>
      <c r="H26" s="47" t="n">
        <f aca="false">IF(H15&gt;0,H19/H15,0)</f>
        <v>0.825988430167315</v>
      </c>
      <c r="I26" s="47" t="n">
        <f aca="false">IF(I15&gt;0,I19/I15,0)</f>
        <v>0.811453642569666</v>
      </c>
      <c r="J26" s="47" t="n">
        <f aca="false">IF(J15&gt;0,J19/J15,0)</f>
        <v>0.61087706942135</v>
      </c>
      <c r="K26" s="47" t="n">
        <f aca="false">IF(K15&gt;0,K19/K15,0)</f>
        <v>0.449790681909053</v>
      </c>
      <c r="L26" s="47" t="n">
        <f aca="false">IF(L15&gt;0,L19/L15,0)</f>
        <v>0.29706377351654</v>
      </c>
      <c r="M26" s="47" t="n">
        <f aca="false">IF(M15&gt;0,M19/M15,0)</f>
        <v>0.153303114827928</v>
      </c>
      <c r="N26" s="47" t="n">
        <f aca="false">IF(N15&gt;0,N19/N15,0)</f>
        <v>0.00194824988836658</v>
      </c>
      <c r="O26" s="47" t="n">
        <f aca="false">IF(O15&gt;0,O19/O15,0)</f>
        <v>0</v>
      </c>
      <c r="P26" s="47" t="n">
        <f aca="false">IF(P15&gt;0,P19/P15,0)</f>
        <v>0</v>
      </c>
      <c r="Q26" s="47" t="n">
        <f aca="false">IF(Q15&gt;0,Q19/Q15,0)</f>
        <v>0</v>
      </c>
      <c r="R26" s="47" t="n">
        <f aca="false">IF(R15&gt;0,R19/R15,0)</f>
        <v>0</v>
      </c>
      <c r="S26" s="47" t="n">
        <f aca="false">IF(S15&gt;0,S19/S15,0)</f>
        <v>0</v>
      </c>
      <c r="T26" s="47" t="n">
        <f aca="false">IF(T15&gt;0,T19/T15,0)</f>
        <v>0</v>
      </c>
      <c r="U26" s="47" t="n">
        <f aca="false">IF(U15&gt;0,U19/U15,0)</f>
        <v>0</v>
      </c>
      <c r="V26" s="14"/>
    </row>
    <row r="27" customFormat="false" ht="15" hidden="false" customHeight="false" outlineLevel="0" collapsed="false">
      <c r="B27" s="54" t="s">
        <v>153</v>
      </c>
      <c r="V27" s="74" t="n">
        <f aca="false">MAX(D26:U26)</f>
        <v>0.851346127942223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21" min="4" style="0" width="11"/>
    <col collapsed="false" customWidth="true" hidden="false" outlineLevel="0" max="22" min="22" style="0" width="13"/>
  </cols>
  <sheetData>
    <row r="1" customFormat="false" ht="21.6" hidden="false" customHeight="false" outlineLevel="0" collapsed="false">
      <c r="A1" s="6" t="s">
        <v>810</v>
      </c>
    </row>
    <row r="2" customFormat="false" ht="15" hidden="false" customHeight="false" outlineLevel="0" collapsed="false">
      <c r="A2" s="7" t="s">
        <v>811</v>
      </c>
    </row>
    <row r="3" customFormat="false" ht="15" hidden="false" customHeight="false" outlineLevel="0" collapsed="false">
      <c r="A3" s="27" t="s">
        <v>25</v>
      </c>
      <c r="B3" s="27" t="s">
        <v>611</v>
      </c>
      <c r="C3" s="27" t="s">
        <v>612</v>
      </c>
      <c r="D3" s="61" t="n">
        <v>1</v>
      </c>
      <c r="E3" s="61" t="n">
        <f aca="false">D3+1</f>
        <v>2</v>
      </c>
      <c r="F3" s="61" t="n">
        <f aca="false">E3+1</f>
        <v>3</v>
      </c>
      <c r="G3" s="61" t="n">
        <f aca="false">F3+1</f>
        <v>4</v>
      </c>
      <c r="H3" s="61" t="n">
        <f aca="false">G3+1</f>
        <v>5</v>
      </c>
      <c r="I3" s="61" t="n">
        <f aca="false">H3+1</f>
        <v>6</v>
      </c>
      <c r="J3" s="61" t="n">
        <f aca="false">I3+1</f>
        <v>7</v>
      </c>
      <c r="K3" s="61" t="n">
        <f aca="false">J3+1</f>
        <v>8</v>
      </c>
      <c r="L3" s="61" t="n">
        <f aca="false">K3+1</f>
        <v>9</v>
      </c>
      <c r="M3" s="61" t="n">
        <f aca="false">L3+1</f>
        <v>10</v>
      </c>
      <c r="N3" s="61" t="n">
        <f aca="false">M3+1</f>
        <v>11</v>
      </c>
      <c r="O3" s="61" t="n">
        <f aca="false">N3+1</f>
        <v>12</v>
      </c>
      <c r="P3" s="61" t="n">
        <f aca="false">O3+1</f>
        <v>13</v>
      </c>
      <c r="Q3" s="61" t="n">
        <f aca="false">P3+1</f>
        <v>14</v>
      </c>
      <c r="R3" s="61" t="n">
        <f aca="false">Q3+1</f>
        <v>15</v>
      </c>
      <c r="S3" s="61" t="n">
        <f aca="false">R3+1</f>
        <v>16</v>
      </c>
      <c r="T3" s="61" t="n">
        <f aca="false">S3+1</f>
        <v>17</v>
      </c>
      <c r="U3" s="61" t="n">
        <f aca="false">T3+1</f>
        <v>18</v>
      </c>
      <c r="V3" s="8" t="s">
        <v>613</v>
      </c>
    </row>
    <row r="4" customFormat="false" ht="15" hidden="false" customHeight="false" outlineLevel="0" collapsed="false">
      <c r="A4" s="62"/>
      <c r="B4" s="27" t="s">
        <v>614</v>
      </c>
      <c r="C4" s="62"/>
      <c r="D4" s="63" t="str">
        <f aca="false">IF(D$3&lt;=0_参数!$C$9,"建设",IF(D$3&lt;=0_参数!$C$9+0_参数!$C$10,"运营",""))</f>
        <v>建设</v>
      </c>
      <c r="E4" s="63" t="str">
        <f aca="false">IF(E$3&lt;=0_参数!$C$9,"建设",IF(E$3&lt;=0_参数!$C$9+0_参数!$C$10,"运营",""))</f>
        <v>运营</v>
      </c>
      <c r="F4" s="63" t="str">
        <f aca="false">IF(F$3&lt;=0_参数!$C$9,"建设",IF(F$3&lt;=0_参数!$C$9+0_参数!$C$10,"运营",""))</f>
        <v>运营</v>
      </c>
      <c r="G4" s="63" t="str">
        <f aca="false">IF(G$3&lt;=0_参数!$C$9,"建设",IF(G$3&lt;=0_参数!$C$9+0_参数!$C$10,"运营",""))</f>
        <v>运营</v>
      </c>
      <c r="H4" s="63" t="str">
        <f aca="false">IF(H$3&lt;=0_参数!$C$9,"建设",IF(H$3&lt;=0_参数!$C$9+0_参数!$C$10,"运营",""))</f>
        <v>运营</v>
      </c>
      <c r="I4" s="63" t="str">
        <f aca="false">IF(I$3&lt;=0_参数!$C$9,"建设",IF(I$3&lt;=0_参数!$C$9+0_参数!$C$10,"运营",""))</f>
        <v>运营</v>
      </c>
      <c r="J4" s="63" t="str">
        <f aca="false">IF(J$3&lt;=0_参数!$C$9,"建设",IF(J$3&lt;=0_参数!$C$9+0_参数!$C$10,"运营",""))</f>
        <v>运营</v>
      </c>
      <c r="K4" s="63" t="str">
        <f aca="false">IF(K$3&lt;=0_参数!$C$9,"建设",IF(K$3&lt;=0_参数!$C$9+0_参数!$C$10,"运营",""))</f>
        <v>运营</v>
      </c>
      <c r="L4" s="63" t="str">
        <f aca="false">IF(L$3&lt;=0_参数!$C$9,"建设",IF(L$3&lt;=0_参数!$C$9+0_参数!$C$10,"运营",""))</f>
        <v>运营</v>
      </c>
      <c r="M4" s="63" t="str">
        <f aca="false">IF(M$3&lt;=0_参数!$C$9,"建设",IF(M$3&lt;=0_参数!$C$9+0_参数!$C$10,"运营",""))</f>
        <v>运营</v>
      </c>
      <c r="N4" s="63" t="str">
        <f aca="false">IF(N$3&lt;=0_参数!$C$9,"建设",IF(N$3&lt;=0_参数!$C$9+0_参数!$C$10,"运营",""))</f>
        <v>运营</v>
      </c>
      <c r="O4" s="63" t="str">
        <f aca="false">IF(O$3&lt;=0_参数!$C$9,"建设",IF(O$3&lt;=0_参数!$C$9+0_参数!$C$10,"运营",""))</f>
        <v/>
      </c>
      <c r="P4" s="63" t="str">
        <f aca="false">IF(P$3&lt;=0_参数!$C$9,"建设",IF(P$3&lt;=0_参数!$C$9+0_参数!$C$10,"运营",""))</f>
        <v/>
      </c>
      <c r="Q4" s="63" t="str">
        <f aca="false">IF(Q$3&lt;=0_参数!$C$9,"建设",IF(Q$3&lt;=0_参数!$C$9+0_参数!$C$10,"运营",""))</f>
        <v/>
      </c>
      <c r="R4" s="63" t="str">
        <f aca="false">IF(R$3&lt;=0_参数!$C$9,"建设",IF(R$3&lt;=0_参数!$C$9+0_参数!$C$10,"运营",""))</f>
        <v/>
      </c>
      <c r="S4" s="63" t="str">
        <f aca="false">IF(S$3&lt;=0_参数!$C$9,"建设",IF(S$3&lt;=0_参数!$C$9+0_参数!$C$10,"运营",""))</f>
        <v/>
      </c>
      <c r="T4" s="63" t="str">
        <f aca="false">IF(T$3&lt;=0_参数!$C$9,"建设",IF(T$3&lt;=0_参数!$C$9+0_参数!$C$10,"运营",""))</f>
        <v/>
      </c>
      <c r="U4" s="63" t="str">
        <f aca="false">IF(U$3&lt;=0_参数!$C$9,"建设",IF(U$3&lt;=0_参数!$C$9+0_参数!$C$10,"运营",""))</f>
        <v/>
      </c>
      <c r="V4" s="62"/>
    </row>
    <row r="5" customFormat="false" ht="15" hidden="false" customHeight="false" outlineLevel="0" collapsed="false">
      <c r="A5" s="62"/>
      <c r="B5" s="27" t="s">
        <v>615</v>
      </c>
      <c r="C5" s="62"/>
      <c r="D5" s="64" t="n">
        <f aca="false">IF(D$4="运营",D$3-0_参数!$C$9,0)</f>
        <v>0</v>
      </c>
      <c r="E5" s="64" t="n">
        <f aca="false">IF(E$4="运营",E$3-0_参数!$C$9,0)</f>
        <v>1</v>
      </c>
      <c r="F5" s="64" t="n">
        <f aca="false">IF(F$4="运营",F$3-0_参数!$C$9,0)</f>
        <v>2</v>
      </c>
      <c r="G5" s="64" t="n">
        <f aca="false">IF(G$4="运营",G$3-0_参数!$C$9,0)</f>
        <v>3</v>
      </c>
      <c r="H5" s="64" t="n">
        <f aca="false">IF(H$4="运营",H$3-0_参数!$C$9,0)</f>
        <v>4</v>
      </c>
      <c r="I5" s="64" t="n">
        <f aca="false">IF(I$4="运营",I$3-0_参数!$C$9,0)</f>
        <v>5</v>
      </c>
      <c r="J5" s="64" t="n">
        <f aca="false">IF(J$4="运营",J$3-0_参数!$C$9,0)</f>
        <v>6</v>
      </c>
      <c r="K5" s="64" t="n">
        <f aca="false">IF(K$4="运营",K$3-0_参数!$C$9,0)</f>
        <v>7</v>
      </c>
      <c r="L5" s="64" t="n">
        <f aca="false">IF(L$4="运营",L$3-0_参数!$C$9,0)</f>
        <v>8</v>
      </c>
      <c r="M5" s="64" t="n">
        <f aca="false">IF(M$4="运营",M$3-0_参数!$C$9,0)</f>
        <v>9</v>
      </c>
      <c r="N5" s="64" t="n">
        <f aca="false">IF(N$4="运营",N$3-0_参数!$C$9,0)</f>
        <v>10</v>
      </c>
      <c r="O5" s="64" t="n">
        <f aca="false">IF(O$4="运营",O$3-0_参数!$C$9,0)</f>
        <v>0</v>
      </c>
      <c r="P5" s="64" t="n">
        <f aca="false">IF(P$4="运营",P$3-0_参数!$C$9,0)</f>
        <v>0</v>
      </c>
      <c r="Q5" s="64" t="n">
        <f aca="false">IF(Q$4="运营",Q$3-0_参数!$C$9,0)</f>
        <v>0</v>
      </c>
      <c r="R5" s="64" t="n">
        <f aca="false">IF(R$4="运营",R$3-0_参数!$C$9,0)</f>
        <v>0</v>
      </c>
      <c r="S5" s="64" t="n">
        <f aca="false">IF(S$4="运营",S$3-0_参数!$C$9,0)</f>
        <v>0</v>
      </c>
      <c r="T5" s="64" t="n">
        <f aca="false">IF(T$4="运营",T$3-0_参数!$C$9,0)</f>
        <v>0</v>
      </c>
      <c r="U5" s="64" t="n">
        <f aca="false">IF(U$4="运营",U$3-0_参数!$C$9,0)</f>
        <v>0</v>
      </c>
      <c r="V5" s="62"/>
    </row>
    <row r="6" customFormat="false" ht="15" hidden="false" customHeight="false" outlineLevel="0" collapsed="false">
      <c r="A6" s="62"/>
      <c r="B6" s="27" t="s">
        <v>616</v>
      </c>
      <c r="C6" s="62"/>
      <c r="D6" s="65" t="n">
        <f aca="false">IF(D$4="建设",D$3,0)</f>
        <v>1</v>
      </c>
      <c r="E6" s="65" t="n">
        <f aca="false">IF(E$4="建设",E$3,0)</f>
        <v>0</v>
      </c>
      <c r="F6" s="65" t="n">
        <f aca="false">IF(F$4="建设",F$3,0)</f>
        <v>0</v>
      </c>
      <c r="G6" s="65" t="n">
        <f aca="false">IF(G$4="建设",G$3,0)</f>
        <v>0</v>
      </c>
      <c r="H6" s="65" t="n">
        <f aca="false">IF(H$4="建设",H$3,0)</f>
        <v>0</v>
      </c>
      <c r="I6" s="65" t="n">
        <f aca="false">IF(I$4="建设",I$3,0)</f>
        <v>0</v>
      </c>
      <c r="J6" s="65" t="n">
        <f aca="false">IF(J$4="建设",J$3,0)</f>
        <v>0</v>
      </c>
      <c r="K6" s="65" t="n">
        <f aca="false">IF(K$4="建设",K$3,0)</f>
        <v>0</v>
      </c>
      <c r="L6" s="65" t="n">
        <f aca="false">IF(L$4="建设",L$3,0)</f>
        <v>0</v>
      </c>
      <c r="M6" s="65" t="n">
        <f aca="false">IF(M$4="建设",M$3,0)</f>
        <v>0</v>
      </c>
      <c r="N6" s="65" t="n">
        <f aca="false">IF(N$4="建设",N$3,0)</f>
        <v>0</v>
      </c>
      <c r="O6" s="65" t="n">
        <f aca="false">IF(O$4="建设",O$3,0)</f>
        <v>0</v>
      </c>
      <c r="P6" s="65" t="n">
        <f aca="false">IF(P$4="建设",P$3,0)</f>
        <v>0</v>
      </c>
      <c r="Q6" s="65" t="n">
        <f aca="false">IF(Q$4="建设",Q$3,0)</f>
        <v>0</v>
      </c>
      <c r="R6" s="65" t="n">
        <f aca="false">IF(R$4="建设",R$3,0)</f>
        <v>0</v>
      </c>
      <c r="S6" s="65" t="n">
        <f aca="false">IF(S$4="建设",S$3,0)</f>
        <v>0</v>
      </c>
      <c r="T6" s="65" t="n">
        <f aca="false">IF(T$4="建设",T$3,0)</f>
        <v>0</v>
      </c>
      <c r="U6" s="65" t="n">
        <f aca="false">IF(U$4="建设",U$3,0)</f>
        <v>0</v>
      </c>
      <c r="V6" s="62"/>
    </row>
    <row r="7" customFormat="false" ht="15" hidden="false" customHeight="false" outlineLevel="0" collapsed="false">
      <c r="A7" s="13" t="s">
        <v>32</v>
      </c>
      <c r="B7" s="14" t="s">
        <v>812</v>
      </c>
      <c r="C7" s="14" t="s">
        <v>95</v>
      </c>
      <c r="D7" s="46" t="n">
        <f aca="false">0</f>
        <v>0</v>
      </c>
      <c r="E7" s="46" t="n">
        <f aca="false">IF(1=0,0,D12)</f>
        <v>103953.261151915</v>
      </c>
      <c r="F7" s="46" t="n">
        <f aca="false">IF(2=0,0,E12)</f>
        <v>93557.9350367235</v>
      </c>
      <c r="G7" s="46" t="n">
        <f aca="false">IF(3=0,0,F12)</f>
        <v>83162.608921532</v>
      </c>
      <c r="H7" s="46" t="n">
        <f aca="false">IF(4=0,0,G12)</f>
        <v>72767.2828063405</v>
      </c>
      <c r="I7" s="46" t="n">
        <f aca="false">IF(5=0,0,H12)</f>
        <v>62371.956691149</v>
      </c>
      <c r="J7" s="46" t="n">
        <f aca="false">IF(6=0,0,I12)</f>
        <v>51976.6305759575</v>
      </c>
      <c r="K7" s="46" t="n">
        <f aca="false">IF(7=0,0,J12)</f>
        <v>41581.304460766</v>
      </c>
      <c r="L7" s="46" t="n">
        <f aca="false">IF(8=0,0,K12)</f>
        <v>31185.9783455745</v>
      </c>
      <c r="M7" s="46" t="n">
        <f aca="false">IF(9=0,0,L12)</f>
        <v>20790.652230383</v>
      </c>
      <c r="N7" s="46" t="n">
        <f aca="false">IF(10=0,0,M12)</f>
        <v>10395.3261151915</v>
      </c>
      <c r="O7" s="46" t="n">
        <f aca="false">IF(11=0,0,N12)</f>
        <v>0</v>
      </c>
      <c r="P7" s="46" t="n">
        <f aca="false">IF(12=0,0,O12)</f>
        <v>0</v>
      </c>
      <c r="Q7" s="46" t="n">
        <f aca="false">IF(13=0,0,P12)</f>
        <v>0</v>
      </c>
      <c r="R7" s="46" t="n">
        <f aca="false">IF(14=0,0,Q12)</f>
        <v>0</v>
      </c>
      <c r="S7" s="46" t="n">
        <f aca="false">IF(15=0,0,R12)</f>
        <v>0</v>
      </c>
      <c r="T7" s="46" t="n">
        <f aca="false">IF(16=0,0,S12)</f>
        <v>0</v>
      </c>
      <c r="U7" s="46" t="n">
        <f aca="false">IF(17=0,0,T12)</f>
        <v>0</v>
      </c>
      <c r="V7" s="14"/>
    </row>
    <row r="8" customFormat="false" ht="15" hidden="false" customHeight="false" outlineLevel="0" collapsed="false">
      <c r="A8" s="13" t="s">
        <v>36</v>
      </c>
      <c r="B8" s="14" t="s">
        <v>813</v>
      </c>
      <c r="C8" s="14" t="s">
        <v>95</v>
      </c>
      <c r="D8" s="20" t="n">
        <f aca="false">3_资金筹措!D$16</f>
        <v>102417.006061</v>
      </c>
      <c r="E8" s="20" t="n">
        <f aca="false">3_资金筹措!E$16</f>
        <v>0</v>
      </c>
      <c r="F8" s="20" t="n">
        <f aca="false">3_资金筹措!F$16</f>
        <v>0</v>
      </c>
      <c r="G8" s="20" t="n">
        <f aca="false">3_资金筹措!G$16</f>
        <v>0</v>
      </c>
      <c r="H8" s="20" t="n">
        <f aca="false">3_资金筹措!H$16</f>
        <v>0</v>
      </c>
      <c r="I8" s="20" t="n">
        <f aca="false">3_资金筹措!I$16</f>
        <v>0</v>
      </c>
      <c r="J8" s="20" t="n">
        <f aca="false">3_资金筹措!J$16</f>
        <v>0</v>
      </c>
      <c r="K8" s="20" t="n">
        <f aca="false">3_资金筹措!K$16</f>
        <v>0</v>
      </c>
      <c r="L8" s="20" t="n">
        <f aca="false">3_资金筹措!L$16</f>
        <v>0</v>
      </c>
      <c r="M8" s="20" t="n">
        <f aca="false">3_资金筹措!M$16</f>
        <v>0</v>
      </c>
      <c r="N8" s="20" t="n">
        <f aca="false">3_资金筹措!N$16</f>
        <v>0</v>
      </c>
      <c r="O8" s="20" t="n">
        <f aca="false">3_资金筹措!O$16</f>
        <v>0</v>
      </c>
      <c r="P8" s="20" t="n">
        <f aca="false">3_资金筹措!P$16</f>
        <v>0</v>
      </c>
      <c r="Q8" s="20" t="n">
        <f aca="false">3_资金筹措!Q$16</f>
        <v>0</v>
      </c>
      <c r="R8" s="20" t="n">
        <f aca="false">3_资金筹措!R$16</f>
        <v>0</v>
      </c>
      <c r="S8" s="20" t="n">
        <f aca="false">3_资金筹措!S$16</f>
        <v>0</v>
      </c>
      <c r="T8" s="20" t="n">
        <f aca="false">3_资金筹措!T$16</f>
        <v>0</v>
      </c>
      <c r="U8" s="20" t="n">
        <f aca="false">3_资金筹措!U$16</f>
        <v>0</v>
      </c>
      <c r="V8" s="46" t="n">
        <f aca="false">SUM(D8:U8)</f>
        <v>102417.006061</v>
      </c>
    </row>
    <row r="9" customFormat="false" ht="15" hidden="false" customHeight="false" outlineLevel="0" collapsed="false">
      <c r="A9" s="13" t="s">
        <v>40</v>
      </c>
      <c r="B9" s="14" t="s">
        <v>104</v>
      </c>
      <c r="C9" s="14" t="s">
        <v>95</v>
      </c>
      <c r="D9" s="20" t="n">
        <f aca="false">IF(D$4="建设",(D7+D8/2)*0_参数!$C$90,0)</f>
        <v>1536.255090915</v>
      </c>
      <c r="E9" s="20" t="n">
        <f aca="false">IF(E$4="建设",(E7+E8/2)*0_参数!$C$90,0)</f>
        <v>0</v>
      </c>
      <c r="F9" s="20" t="n">
        <f aca="false">IF(F$4="建设",(F7+F8/2)*0_参数!$C$90,0)</f>
        <v>0</v>
      </c>
      <c r="G9" s="20" t="n">
        <f aca="false">IF(G$4="建设",(G7+G8/2)*0_参数!$C$90,0)</f>
        <v>0</v>
      </c>
      <c r="H9" s="20" t="n">
        <f aca="false">IF(H$4="建设",(H7+H8/2)*0_参数!$C$90,0)</f>
        <v>0</v>
      </c>
      <c r="I9" s="20" t="n">
        <f aca="false">IF(I$4="建设",(I7+I8/2)*0_参数!$C$90,0)</f>
        <v>0</v>
      </c>
      <c r="J9" s="20" t="n">
        <f aca="false">IF(J$4="建设",(J7+J8/2)*0_参数!$C$90,0)</f>
        <v>0</v>
      </c>
      <c r="K9" s="20" t="n">
        <f aca="false">IF(K$4="建设",(K7+K8/2)*0_参数!$C$90,0)</f>
        <v>0</v>
      </c>
      <c r="L9" s="20" t="n">
        <f aca="false">IF(L$4="建设",(L7+L8/2)*0_参数!$C$90,0)</f>
        <v>0</v>
      </c>
      <c r="M9" s="20" t="n">
        <f aca="false">IF(M$4="建设",(M7+M8/2)*0_参数!$C$90,0)</f>
        <v>0</v>
      </c>
      <c r="N9" s="20" t="n">
        <f aca="false">IF(N$4="建设",(N7+N8/2)*0_参数!$C$90,0)</f>
        <v>0</v>
      </c>
      <c r="O9" s="20" t="n">
        <f aca="false">IF(O$4="建设",(O7+O8/2)*0_参数!$C$90,0)</f>
        <v>0</v>
      </c>
      <c r="P9" s="20" t="n">
        <f aca="false">IF(P$4="建设",(P7+P8/2)*0_参数!$C$90,0)</f>
        <v>0</v>
      </c>
      <c r="Q9" s="20" t="n">
        <f aca="false">IF(Q$4="建设",(Q7+Q8/2)*0_参数!$C$90,0)</f>
        <v>0</v>
      </c>
      <c r="R9" s="20" t="n">
        <f aca="false">IF(R$4="建设",(R7+R8/2)*0_参数!$C$90,0)</f>
        <v>0</v>
      </c>
      <c r="S9" s="20" t="n">
        <f aca="false">IF(S$4="建设",(S7+S8/2)*0_参数!$C$90,0)</f>
        <v>0</v>
      </c>
      <c r="T9" s="20" t="n">
        <f aca="false">IF(T$4="建设",(T7+T8/2)*0_参数!$C$90,0)</f>
        <v>0</v>
      </c>
      <c r="U9" s="20" t="n">
        <f aca="false">IF(U$4="建设",(U7+U8/2)*0_参数!$C$90,0)</f>
        <v>0</v>
      </c>
      <c r="V9" s="46" t="n">
        <f aca="false">SUM(D9:U9)</f>
        <v>1536.255090915</v>
      </c>
    </row>
    <row r="10" customFormat="false" ht="15" hidden="false" customHeight="false" outlineLevel="0" collapsed="false">
      <c r="A10" s="13" t="s">
        <v>44</v>
      </c>
      <c r="B10" s="14" t="s">
        <v>814</v>
      </c>
      <c r="C10" s="14" t="s">
        <v>95</v>
      </c>
      <c r="D10" s="20" t="n">
        <f aca="false">IF(D$4="运营",D7*0_参数!$C$90,0)</f>
        <v>0</v>
      </c>
      <c r="E10" s="20" t="n">
        <f aca="false">IF(E$4="运营",E7*0_参数!$C$90,0)</f>
        <v>3118.59783455745</v>
      </c>
      <c r="F10" s="20" t="n">
        <f aca="false">IF(F$4="运营",F7*0_参数!$C$90,0)</f>
        <v>2806.73805110171</v>
      </c>
      <c r="G10" s="20" t="n">
        <f aca="false">IF(G$4="运营",G7*0_参数!$C$90,0)</f>
        <v>2494.87826764596</v>
      </c>
      <c r="H10" s="20" t="n">
        <f aca="false">IF(H$4="运营",H7*0_参数!$C$90,0)</f>
        <v>2183.01848419021</v>
      </c>
      <c r="I10" s="20" t="n">
        <f aca="false">IF(I$4="运营",I7*0_参数!$C$90,0)</f>
        <v>1871.15870073447</v>
      </c>
      <c r="J10" s="20" t="n">
        <f aca="false">IF(J$4="运营",J7*0_参数!$C$90,0)</f>
        <v>1559.29891727872</v>
      </c>
      <c r="K10" s="20" t="n">
        <f aca="false">IF(K$4="运营",K7*0_参数!$C$90,0)</f>
        <v>1247.43913382298</v>
      </c>
      <c r="L10" s="20" t="n">
        <f aca="false">IF(L$4="运营",L7*0_参数!$C$90,0)</f>
        <v>935.579350367235</v>
      </c>
      <c r="M10" s="20" t="n">
        <f aca="false">IF(M$4="运营",M7*0_参数!$C$90,0)</f>
        <v>623.71956691149</v>
      </c>
      <c r="N10" s="20" t="n">
        <f aca="false">IF(N$4="运营",N7*0_参数!$C$90,0)</f>
        <v>311.859783455745</v>
      </c>
      <c r="O10" s="20" t="n">
        <f aca="false">IF(O$4="运营",O7*0_参数!$C$90,0)</f>
        <v>0</v>
      </c>
      <c r="P10" s="20" t="n">
        <f aca="false">IF(P$4="运营",P7*0_参数!$C$90,0)</f>
        <v>0</v>
      </c>
      <c r="Q10" s="20" t="n">
        <f aca="false">IF(Q$4="运营",Q7*0_参数!$C$90,0)</f>
        <v>0</v>
      </c>
      <c r="R10" s="20" t="n">
        <f aca="false">IF(R$4="运营",R7*0_参数!$C$90,0)</f>
        <v>0</v>
      </c>
      <c r="S10" s="20" t="n">
        <f aca="false">IF(S$4="运营",S7*0_参数!$C$90,0)</f>
        <v>0</v>
      </c>
      <c r="T10" s="20" t="n">
        <f aca="false">IF(T$4="运营",T7*0_参数!$C$90,0)</f>
        <v>0</v>
      </c>
      <c r="U10" s="20" t="n">
        <f aca="false">IF(U$4="运营",U7*0_参数!$C$90,0)</f>
        <v>0</v>
      </c>
      <c r="V10" s="46" t="n">
        <f aca="false">SUM(D10:U10)</f>
        <v>17152.288090066</v>
      </c>
    </row>
    <row r="11" customFormat="false" ht="15" hidden="false" customHeight="false" outlineLevel="0" collapsed="false">
      <c r="A11" s="13" t="s">
        <v>48</v>
      </c>
      <c r="B11" s="14" t="s">
        <v>815</v>
      </c>
      <c r="C11" s="14" t="s">
        <v>95</v>
      </c>
      <c r="D11" s="20" t="n">
        <f aca="false">IF(AND(D$4="运营",D$5&lt;=0_参数!$C$91),$V$13/0_参数!$C$91,0)</f>
        <v>0</v>
      </c>
      <c r="E11" s="20" t="n">
        <f aca="false">IF(AND(E$4="运营",E$5&lt;=0_参数!$C$91),$V$13/0_参数!$C$91,0)</f>
        <v>10395.3261151915</v>
      </c>
      <c r="F11" s="20" t="n">
        <f aca="false">IF(AND(F$4="运营",F$5&lt;=0_参数!$C$91),$V$13/0_参数!$C$91,0)</f>
        <v>10395.3261151915</v>
      </c>
      <c r="G11" s="20" t="n">
        <f aca="false">IF(AND(G$4="运营",G$5&lt;=0_参数!$C$91),$V$13/0_参数!$C$91,0)</f>
        <v>10395.3261151915</v>
      </c>
      <c r="H11" s="20" t="n">
        <f aca="false">IF(AND(H$4="运营",H$5&lt;=0_参数!$C$91),$V$13/0_参数!$C$91,0)</f>
        <v>10395.3261151915</v>
      </c>
      <c r="I11" s="20" t="n">
        <f aca="false">IF(AND(I$4="运营",I$5&lt;=0_参数!$C$91),$V$13/0_参数!$C$91,0)</f>
        <v>10395.3261151915</v>
      </c>
      <c r="J11" s="20" t="n">
        <f aca="false">IF(AND(J$4="运营",J$5&lt;=0_参数!$C$91),$V$13/0_参数!$C$91,0)</f>
        <v>10395.3261151915</v>
      </c>
      <c r="K11" s="20" t="n">
        <f aca="false">IF(AND(K$4="运营",K$5&lt;=0_参数!$C$91),$V$13/0_参数!$C$91,0)</f>
        <v>10395.3261151915</v>
      </c>
      <c r="L11" s="20" t="n">
        <f aca="false">IF(AND(L$4="运营",L$5&lt;=0_参数!$C$91),$V$13/0_参数!$C$91,0)</f>
        <v>10395.3261151915</v>
      </c>
      <c r="M11" s="20" t="n">
        <f aca="false">IF(AND(M$4="运营",M$5&lt;=0_参数!$C$91),$V$13/0_参数!$C$91,0)</f>
        <v>10395.3261151915</v>
      </c>
      <c r="N11" s="20" t="n">
        <f aca="false">IF(AND(N$4="运营",N$5&lt;=0_参数!$C$91),$V$13/0_参数!$C$91,0)</f>
        <v>10395.3261151915</v>
      </c>
      <c r="O11" s="20" t="n">
        <f aca="false">IF(AND(O$4="运营",O$5&lt;=0_参数!$C$91),$V$13/0_参数!$C$91,0)</f>
        <v>0</v>
      </c>
      <c r="P11" s="20" t="n">
        <f aca="false">IF(AND(P$4="运营",P$5&lt;=0_参数!$C$91),$V$13/0_参数!$C$91,0)</f>
        <v>0</v>
      </c>
      <c r="Q11" s="20" t="n">
        <f aca="false">IF(AND(Q$4="运营",Q$5&lt;=0_参数!$C$91),$V$13/0_参数!$C$91,0)</f>
        <v>0</v>
      </c>
      <c r="R11" s="20" t="n">
        <f aca="false">IF(AND(R$4="运营",R$5&lt;=0_参数!$C$91),$V$13/0_参数!$C$91,0)</f>
        <v>0</v>
      </c>
      <c r="S11" s="20" t="n">
        <f aca="false">IF(AND(S$4="运营",S$5&lt;=0_参数!$C$91),$V$13/0_参数!$C$91,0)</f>
        <v>0</v>
      </c>
      <c r="T11" s="20" t="n">
        <f aca="false">IF(AND(T$4="运营",T$5&lt;=0_参数!$C$91),$V$13/0_参数!$C$91,0)</f>
        <v>0</v>
      </c>
      <c r="U11" s="20" t="n">
        <f aca="false">IF(AND(U$4="运营",U$5&lt;=0_参数!$C$91),$V$13/0_参数!$C$91,0)</f>
        <v>0</v>
      </c>
      <c r="V11" s="46" t="n">
        <f aca="false">SUM(D11:U11)</f>
        <v>103953.261151915</v>
      </c>
    </row>
    <row r="12" customFormat="false" ht="15" hidden="false" customHeight="false" outlineLevel="0" collapsed="false">
      <c r="A12" s="13" t="s">
        <v>52</v>
      </c>
      <c r="B12" s="14" t="s">
        <v>816</v>
      </c>
      <c r="C12" s="14" t="s">
        <v>95</v>
      </c>
      <c r="D12" s="20" t="n">
        <f aca="false">D7+D8+IF(0_参数!$C$92=1,D9,0)-D11</f>
        <v>103953.261151915</v>
      </c>
      <c r="E12" s="20" t="n">
        <f aca="false">E7+E8+IF(0_参数!$C$92=1,E9,0)-E11</f>
        <v>93557.9350367235</v>
      </c>
      <c r="F12" s="20" t="n">
        <f aca="false">F7+F8+IF(0_参数!$C$92=1,F9,0)-F11</f>
        <v>83162.608921532</v>
      </c>
      <c r="G12" s="20" t="n">
        <f aca="false">G7+G8+IF(0_参数!$C$92=1,G9,0)-G11</f>
        <v>72767.2828063405</v>
      </c>
      <c r="H12" s="20" t="n">
        <f aca="false">H7+H8+IF(0_参数!$C$92=1,H9,0)-H11</f>
        <v>62371.956691149</v>
      </c>
      <c r="I12" s="20" t="n">
        <f aca="false">I7+I8+IF(0_参数!$C$92=1,I9,0)-I11</f>
        <v>51976.6305759575</v>
      </c>
      <c r="J12" s="20" t="n">
        <f aca="false">J7+J8+IF(0_参数!$C$92=1,J9,0)-J11</f>
        <v>41581.304460766</v>
      </c>
      <c r="K12" s="20" t="n">
        <f aca="false">K7+K8+IF(0_参数!$C$92=1,K9,0)-K11</f>
        <v>31185.9783455745</v>
      </c>
      <c r="L12" s="20" t="n">
        <f aca="false">L7+L8+IF(0_参数!$C$92=1,L9,0)-L11</f>
        <v>20790.652230383</v>
      </c>
      <c r="M12" s="20" t="n">
        <f aca="false">M7+M8+IF(0_参数!$C$92=1,M9,0)-M11</f>
        <v>10395.3261151915</v>
      </c>
      <c r="N12" s="20" t="n">
        <f aca="false">N7+N8+IF(0_参数!$C$92=1,N9,0)-N11</f>
        <v>0</v>
      </c>
      <c r="O12" s="20" t="n">
        <f aca="false">O7+O8+IF(0_参数!$C$92=1,O9,0)-O11</f>
        <v>0</v>
      </c>
      <c r="P12" s="20" t="n">
        <f aca="false">P7+P8+IF(0_参数!$C$92=1,P9,0)-P11</f>
        <v>0</v>
      </c>
      <c r="Q12" s="20" t="n">
        <f aca="false">Q7+Q8+IF(0_参数!$C$92=1,Q9,0)-Q11</f>
        <v>0</v>
      </c>
      <c r="R12" s="20" t="n">
        <f aca="false">R7+R8+IF(0_参数!$C$92=1,R9,0)-R11</f>
        <v>0</v>
      </c>
      <c r="S12" s="20" t="n">
        <f aca="false">S7+S8+IF(0_参数!$C$92=1,S9,0)-S11</f>
        <v>0</v>
      </c>
      <c r="T12" s="20" t="n">
        <f aca="false">T7+T8+IF(0_参数!$C$92=1,T9,0)-T11</f>
        <v>0</v>
      </c>
      <c r="U12" s="20" t="n">
        <f aca="false">U7+U8+IF(0_参数!$C$92=1,U9,0)-U11</f>
        <v>0</v>
      </c>
      <c r="V12" s="20" t="n">
        <f aca="false">INDEX(D12:U12,0_参数!$C$9+0_参数!$C$10)</f>
        <v>0</v>
      </c>
    </row>
    <row r="13" customFormat="false" ht="15" hidden="false" customHeight="false" outlineLevel="0" collapsed="false">
      <c r="B13" s="54" t="s">
        <v>817</v>
      </c>
      <c r="V13" s="67" t="n">
        <f aca="false">INDEX(D12:U12,0_参数!$C$9)</f>
        <v>103953.261151915</v>
      </c>
    </row>
    <row r="14" customFormat="false" ht="15" hidden="false" customHeight="false" outlineLevel="0" collapsed="false">
      <c r="A14" s="14"/>
      <c r="B14" s="14" t="s">
        <v>698</v>
      </c>
      <c r="C14" s="14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14"/>
    </row>
    <row r="15" customFormat="false" ht="15" hidden="false" customHeight="false" outlineLevel="0" collapsed="false">
      <c r="A15" s="13" t="s">
        <v>58</v>
      </c>
      <c r="B15" s="14" t="s">
        <v>818</v>
      </c>
      <c r="C15" s="14" t="s">
        <v>95</v>
      </c>
      <c r="D15" s="46" t="n">
        <f aca="false">0</f>
        <v>0</v>
      </c>
      <c r="E15" s="46" t="n">
        <f aca="false">IF(1=0,0,D18)</f>
        <v>0</v>
      </c>
      <c r="F15" s="46" t="n">
        <f aca="false">IF(2=0,0,E18)</f>
        <v>1212.29830188679</v>
      </c>
      <c r="G15" s="46" t="n">
        <f aca="false">IF(3=0,0,F18)</f>
        <v>1367.61905660377</v>
      </c>
      <c r="H15" s="46" t="n">
        <f aca="false">IF(4=0,0,G18)</f>
        <v>1367.61905660377</v>
      </c>
      <c r="I15" s="46" t="n">
        <f aca="false">IF(5=0,0,H18)</f>
        <v>1367.61905660377</v>
      </c>
      <c r="J15" s="46" t="n">
        <f aca="false">IF(6=0,0,I18)</f>
        <v>1367.61905660377</v>
      </c>
      <c r="K15" s="46" t="n">
        <f aca="false">IF(7=0,0,J18)</f>
        <v>1367.61905660377</v>
      </c>
      <c r="L15" s="46" t="n">
        <f aca="false">IF(8=0,0,K18)</f>
        <v>1367.61905660377</v>
      </c>
      <c r="M15" s="46" t="n">
        <f aca="false">IF(9=0,0,L18)</f>
        <v>1367.61905660377</v>
      </c>
      <c r="N15" s="46" t="n">
        <f aca="false">IF(10=0,0,M18)</f>
        <v>1367.61905660377</v>
      </c>
      <c r="O15" s="46" t="n">
        <f aca="false">IF(11=0,0,N18)</f>
        <v>0</v>
      </c>
      <c r="P15" s="46" t="n">
        <f aca="false">IF(12=0,0,O18)</f>
        <v>0</v>
      </c>
      <c r="Q15" s="46" t="n">
        <f aca="false">IF(13=0,0,P18)</f>
        <v>0</v>
      </c>
      <c r="R15" s="46" t="n">
        <f aca="false">IF(14=0,0,Q18)</f>
        <v>0</v>
      </c>
      <c r="S15" s="46" t="n">
        <f aca="false">IF(15=0,0,R18)</f>
        <v>0</v>
      </c>
      <c r="T15" s="46" t="n">
        <f aca="false">IF(16=0,0,S18)</f>
        <v>0</v>
      </c>
      <c r="U15" s="46" t="n">
        <f aca="false">IF(17=0,0,T18)</f>
        <v>0</v>
      </c>
      <c r="V15" s="14"/>
    </row>
    <row r="16" customFormat="false" ht="15" hidden="false" customHeight="false" outlineLevel="0" collapsed="false">
      <c r="A16" s="13" t="s">
        <v>61</v>
      </c>
      <c r="B16" s="14" t="s">
        <v>819</v>
      </c>
      <c r="C16" s="14" t="s">
        <v>95</v>
      </c>
      <c r="D16" s="20" t="n">
        <f aca="false">2_流动资金!D$17</f>
        <v>0</v>
      </c>
      <c r="E16" s="20" t="n">
        <f aca="false">2_流动资金!E$17</f>
        <v>1212.29830188679</v>
      </c>
      <c r="F16" s="20" t="n">
        <f aca="false">2_流动资金!F$17</f>
        <v>155.320754716981</v>
      </c>
      <c r="G16" s="20" t="n">
        <f aca="false">2_流动资金!G$17</f>
        <v>0</v>
      </c>
      <c r="H16" s="20" t="n">
        <f aca="false">2_流动资金!H$17</f>
        <v>0</v>
      </c>
      <c r="I16" s="20" t="n">
        <f aca="false">2_流动资金!I$17</f>
        <v>0</v>
      </c>
      <c r="J16" s="20" t="n">
        <f aca="false">2_流动资金!J$17</f>
        <v>0</v>
      </c>
      <c r="K16" s="20" t="n">
        <f aca="false">2_流动资金!K$17</f>
        <v>0</v>
      </c>
      <c r="L16" s="20" t="n">
        <f aca="false">2_流动资金!L$17</f>
        <v>0</v>
      </c>
      <c r="M16" s="20" t="n">
        <f aca="false">2_流动资金!M$17</f>
        <v>0</v>
      </c>
      <c r="N16" s="20" t="n">
        <f aca="false">2_流动资金!N$17</f>
        <v>0</v>
      </c>
      <c r="O16" s="20" t="n">
        <f aca="false">2_流动资金!O$17</f>
        <v>0</v>
      </c>
      <c r="P16" s="20" t="n">
        <f aca="false">2_流动资金!P$17</f>
        <v>0</v>
      </c>
      <c r="Q16" s="20" t="n">
        <f aca="false">2_流动资金!Q$17</f>
        <v>0</v>
      </c>
      <c r="R16" s="20" t="n">
        <f aca="false">2_流动资金!R$17</f>
        <v>0</v>
      </c>
      <c r="S16" s="20" t="n">
        <f aca="false">2_流动资金!S$17</f>
        <v>0</v>
      </c>
      <c r="T16" s="20" t="n">
        <f aca="false">2_流动资金!T$17</f>
        <v>0</v>
      </c>
      <c r="U16" s="20" t="n">
        <f aca="false">2_流动资金!U$17</f>
        <v>0</v>
      </c>
      <c r="V16" s="46" t="n">
        <f aca="false">SUM(D16:U16)</f>
        <v>1367.61905660377</v>
      </c>
    </row>
    <row r="17" customFormat="false" ht="15" hidden="false" customHeight="false" outlineLevel="0" collapsed="false">
      <c r="A17" s="13" t="s">
        <v>65</v>
      </c>
      <c r="B17" s="14" t="s">
        <v>820</v>
      </c>
      <c r="C17" s="14" t="s">
        <v>95</v>
      </c>
      <c r="D17" s="20" t="n">
        <f aca="false">IF(D$3=0_参数!$C$9+0_参数!$C$10,D15+D16,0)</f>
        <v>0</v>
      </c>
      <c r="E17" s="20" t="n">
        <f aca="false">IF(E$3=0_参数!$C$9+0_参数!$C$10,E15+E16,0)</f>
        <v>0</v>
      </c>
      <c r="F17" s="20" t="n">
        <f aca="false">IF(F$3=0_参数!$C$9+0_参数!$C$10,F15+F16,0)</f>
        <v>0</v>
      </c>
      <c r="G17" s="20" t="n">
        <f aca="false">IF(G$3=0_参数!$C$9+0_参数!$C$10,G15+G16,0)</f>
        <v>0</v>
      </c>
      <c r="H17" s="20" t="n">
        <f aca="false">IF(H$3=0_参数!$C$9+0_参数!$C$10,H15+H16,0)</f>
        <v>0</v>
      </c>
      <c r="I17" s="20" t="n">
        <f aca="false">IF(I$3=0_参数!$C$9+0_参数!$C$10,I15+I16,0)</f>
        <v>0</v>
      </c>
      <c r="J17" s="20" t="n">
        <f aca="false">IF(J$3=0_参数!$C$9+0_参数!$C$10,J15+J16,0)</f>
        <v>0</v>
      </c>
      <c r="K17" s="20" t="n">
        <f aca="false">IF(K$3=0_参数!$C$9+0_参数!$C$10,K15+K16,0)</f>
        <v>0</v>
      </c>
      <c r="L17" s="20" t="n">
        <f aca="false">IF(L$3=0_参数!$C$9+0_参数!$C$10,L15+L16,0)</f>
        <v>0</v>
      </c>
      <c r="M17" s="20" t="n">
        <f aca="false">IF(M$3=0_参数!$C$9+0_参数!$C$10,M15+M16,0)</f>
        <v>0</v>
      </c>
      <c r="N17" s="20" t="n">
        <f aca="false">IF(N$3=0_参数!$C$9+0_参数!$C$10,N15+N16,0)</f>
        <v>1367.61905660377</v>
      </c>
      <c r="O17" s="20" t="n">
        <f aca="false">IF(O$3=0_参数!$C$9+0_参数!$C$10,O15+O16,0)</f>
        <v>0</v>
      </c>
      <c r="P17" s="20" t="n">
        <f aca="false">IF(P$3=0_参数!$C$9+0_参数!$C$10,P15+P16,0)</f>
        <v>0</v>
      </c>
      <c r="Q17" s="20" t="n">
        <f aca="false">IF(Q$3=0_参数!$C$9+0_参数!$C$10,Q15+Q16,0)</f>
        <v>0</v>
      </c>
      <c r="R17" s="20" t="n">
        <f aca="false">IF(R$3=0_参数!$C$9+0_参数!$C$10,R15+R16,0)</f>
        <v>0</v>
      </c>
      <c r="S17" s="20" t="n">
        <f aca="false">IF(S$3=0_参数!$C$9+0_参数!$C$10,S15+S16,0)</f>
        <v>0</v>
      </c>
      <c r="T17" s="20" t="n">
        <f aca="false">IF(T$3=0_参数!$C$9+0_参数!$C$10,T15+T16,0)</f>
        <v>0</v>
      </c>
      <c r="U17" s="20" t="n">
        <f aca="false">IF(U$3=0_参数!$C$9+0_参数!$C$10,U15+U16,0)</f>
        <v>0</v>
      </c>
      <c r="V17" s="46" t="n">
        <f aca="false">SUM(D17:U17)</f>
        <v>1367.61905660377</v>
      </c>
    </row>
    <row r="18" customFormat="false" ht="15" hidden="false" customHeight="false" outlineLevel="0" collapsed="false">
      <c r="A18" s="13" t="s">
        <v>68</v>
      </c>
      <c r="B18" s="14" t="s">
        <v>821</v>
      </c>
      <c r="C18" s="14" t="s">
        <v>95</v>
      </c>
      <c r="D18" s="46" t="n">
        <f aca="false">D15+D16-D17</f>
        <v>0</v>
      </c>
      <c r="E18" s="46" t="n">
        <f aca="false">E15+E16-E17</f>
        <v>1212.29830188679</v>
      </c>
      <c r="F18" s="46" t="n">
        <f aca="false">F15+F16-F17</f>
        <v>1367.61905660377</v>
      </c>
      <c r="G18" s="46" t="n">
        <f aca="false">G15+G16-G17</f>
        <v>1367.61905660377</v>
      </c>
      <c r="H18" s="46" t="n">
        <f aca="false">H15+H16-H17</f>
        <v>1367.61905660377</v>
      </c>
      <c r="I18" s="46" t="n">
        <f aca="false">I15+I16-I17</f>
        <v>1367.61905660377</v>
      </c>
      <c r="J18" s="46" t="n">
        <f aca="false">J15+J16-J17</f>
        <v>1367.61905660377</v>
      </c>
      <c r="K18" s="46" t="n">
        <f aca="false">K15+K16-K17</f>
        <v>1367.61905660377</v>
      </c>
      <c r="L18" s="46" t="n">
        <f aca="false">L15+L16-L17</f>
        <v>1367.61905660377</v>
      </c>
      <c r="M18" s="46" t="n">
        <f aca="false">M15+M16-M17</f>
        <v>1367.61905660377</v>
      </c>
      <c r="N18" s="46" t="n">
        <f aca="false">N15+N16-N17</f>
        <v>0</v>
      </c>
      <c r="O18" s="46" t="n">
        <f aca="false">O15+O16-O17</f>
        <v>0</v>
      </c>
      <c r="P18" s="46" t="n">
        <f aca="false">P15+P16-P17</f>
        <v>0</v>
      </c>
      <c r="Q18" s="46" t="n">
        <f aca="false">Q15+Q16-Q17</f>
        <v>0</v>
      </c>
      <c r="R18" s="46" t="n">
        <f aca="false">R15+R16-R17</f>
        <v>0</v>
      </c>
      <c r="S18" s="46" t="n">
        <f aca="false">S15+S16-S17</f>
        <v>0</v>
      </c>
      <c r="T18" s="46" t="n">
        <f aca="false">T15+T16-T17</f>
        <v>0</v>
      </c>
      <c r="U18" s="46" t="n">
        <f aca="false">U15+U16-U17</f>
        <v>0</v>
      </c>
      <c r="V18" s="20" t="n">
        <f aca="false">INDEX(D18:U18,0_参数!$C$9+0_参数!$C$10)</f>
        <v>0</v>
      </c>
    </row>
    <row r="19" customFormat="false" ht="15" hidden="false" customHeight="false" outlineLevel="0" collapsed="false">
      <c r="A19" s="13" t="s">
        <v>71</v>
      </c>
      <c r="B19" s="14" t="s">
        <v>822</v>
      </c>
      <c r="C19" s="14" t="s">
        <v>95</v>
      </c>
      <c r="D19" s="20" t="n">
        <f aca="false">(D15+D16/2)*0_参数!$C$94</f>
        <v>0</v>
      </c>
      <c r="E19" s="20" t="n">
        <f aca="false">(E15+E16/2)*0_参数!$C$94</f>
        <v>21.2152202830189</v>
      </c>
      <c r="F19" s="20" t="n">
        <f aca="false">(F15+F16/2)*0_参数!$C$94</f>
        <v>45.1485537735849</v>
      </c>
      <c r="G19" s="20" t="n">
        <f aca="false">(G15+G16/2)*0_参数!$C$94</f>
        <v>47.8666669811321</v>
      </c>
      <c r="H19" s="20" t="n">
        <f aca="false">(H15+H16/2)*0_参数!$C$94</f>
        <v>47.8666669811321</v>
      </c>
      <c r="I19" s="20" t="n">
        <f aca="false">(I15+I16/2)*0_参数!$C$94</f>
        <v>47.8666669811321</v>
      </c>
      <c r="J19" s="20" t="n">
        <f aca="false">(J15+J16/2)*0_参数!$C$94</f>
        <v>47.8666669811321</v>
      </c>
      <c r="K19" s="20" t="n">
        <f aca="false">(K15+K16/2)*0_参数!$C$94</f>
        <v>47.8666669811321</v>
      </c>
      <c r="L19" s="20" t="n">
        <f aca="false">(L15+L16/2)*0_参数!$C$94</f>
        <v>47.8666669811321</v>
      </c>
      <c r="M19" s="20" t="n">
        <f aca="false">(M15+M16/2)*0_参数!$C$94</f>
        <v>47.8666669811321</v>
      </c>
      <c r="N19" s="20" t="n">
        <f aca="false">(N15+N16/2)*0_参数!$C$94</f>
        <v>47.8666669811321</v>
      </c>
      <c r="O19" s="20" t="n">
        <f aca="false">(O15+O16/2)*0_参数!$C$94</f>
        <v>0</v>
      </c>
      <c r="P19" s="20" t="n">
        <f aca="false">(P15+P16/2)*0_参数!$C$94</f>
        <v>0</v>
      </c>
      <c r="Q19" s="20" t="n">
        <f aca="false">(Q15+Q16/2)*0_参数!$C$94</f>
        <v>0</v>
      </c>
      <c r="R19" s="20" t="n">
        <f aca="false">(R15+R16/2)*0_参数!$C$94</f>
        <v>0</v>
      </c>
      <c r="S19" s="20" t="n">
        <f aca="false">(S15+S16/2)*0_参数!$C$94</f>
        <v>0</v>
      </c>
      <c r="T19" s="20" t="n">
        <f aca="false">(T15+T16/2)*0_参数!$C$94</f>
        <v>0</v>
      </c>
      <c r="U19" s="20" t="n">
        <f aca="false">(U15+U16/2)*0_参数!$C$94</f>
        <v>0</v>
      </c>
      <c r="V19" s="46" t="n">
        <f aca="false">SUM(D19:U19)</f>
        <v>449.29710990566</v>
      </c>
    </row>
    <row r="20" customFormat="false" ht="15" hidden="false" customHeight="false" outlineLevel="0" collapsed="false">
      <c r="A20" s="14"/>
      <c r="B20" s="14" t="s">
        <v>698</v>
      </c>
      <c r="C20" s="14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14"/>
    </row>
    <row r="21" customFormat="false" ht="15" hidden="false" customHeight="false" outlineLevel="0" collapsed="false">
      <c r="A21" s="13" t="s">
        <v>78</v>
      </c>
      <c r="B21" s="14" t="s">
        <v>823</v>
      </c>
      <c r="C21" s="14" t="s">
        <v>95</v>
      </c>
      <c r="D21" s="20" t="n">
        <f aca="false">7_利润!D$15+5_折旧摊销!D$27+5_折旧摊销!D$31</f>
        <v>0</v>
      </c>
      <c r="E21" s="20" t="n">
        <f aca="false">7_利润!E$15+5_折旧摊销!E$27+5_折旧摊销!E$31</f>
        <v>15081.5873906221</v>
      </c>
      <c r="F21" s="20" t="n">
        <f aca="false">7_利润!F$15+5_折旧摊销!F$27+5_折旧摊销!F$31</f>
        <v>17953.9103478266</v>
      </c>
      <c r="G21" s="20" t="n">
        <f aca="false">7_利润!G$15+5_折旧摊销!G$27+5_折旧摊销!G$31</f>
        <v>18263.0520180748</v>
      </c>
      <c r="H21" s="20" t="n">
        <f aca="false">7_利润!H$15+5_折旧摊销!H$27+5_折旧摊销!H$31</f>
        <v>17685.7608581343</v>
      </c>
      <c r="I21" s="20" t="n">
        <f aca="false">7_利润!I$15+5_折旧摊销!I$27+5_折旧摊销!I$31</f>
        <v>17997.62064159</v>
      </c>
      <c r="J21" s="20" t="n">
        <f aca="false">7_利润!J$15+5_折旧摊销!J$27+5_折旧摊销!J$31</f>
        <v>16019.3931791007</v>
      </c>
      <c r="K21" s="20" t="n">
        <f aca="false">7_利润!K$15+5_折旧摊销!K$27+5_折旧摊销!K$31</f>
        <v>13547.5787289523</v>
      </c>
      <c r="L21" s="20" t="n">
        <f aca="false">7_利润!L$15+5_折旧摊销!L$27+5_折旧摊销!L$31</f>
        <v>13781.4735665441</v>
      </c>
      <c r="M21" s="20" t="n">
        <f aca="false">7_利润!M$15+5_折旧摊销!M$27+5_折旧摊销!M$31</f>
        <v>14015.3684041359</v>
      </c>
      <c r="N21" s="20" t="n">
        <f aca="false">7_利润!N$15+5_折旧摊销!N$27+5_折旧摊销!N$31</f>
        <v>14249.2632417277</v>
      </c>
      <c r="O21" s="20" t="n">
        <f aca="false">7_利润!O$15+5_折旧摊销!O$27+5_折旧摊销!O$31</f>
        <v>0</v>
      </c>
      <c r="P21" s="20" t="n">
        <f aca="false">7_利润!P$15+5_折旧摊销!P$27+5_折旧摊销!P$31</f>
        <v>0</v>
      </c>
      <c r="Q21" s="20" t="n">
        <f aca="false">7_利润!Q$15+5_折旧摊销!Q$27+5_折旧摊销!Q$31</f>
        <v>0</v>
      </c>
      <c r="R21" s="20" t="n">
        <f aca="false">7_利润!R$15+5_折旧摊销!R$27+5_折旧摊销!R$31</f>
        <v>0</v>
      </c>
      <c r="S21" s="20" t="n">
        <f aca="false">7_利润!S$15+5_折旧摊销!S$27+5_折旧摊销!S$31</f>
        <v>0</v>
      </c>
      <c r="T21" s="20" t="n">
        <f aca="false">7_利润!T$15+5_折旧摊销!T$27+5_折旧摊销!T$31</f>
        <v>0</v>
      </c>
      <c r="U21" s="20" t="n">
        <f aca="false">7_利润!U$15+5_折旧摊销!U$27+5_折旧摊销!U$31</f>
        <v>0</v>
      </c>
      <c r="V21" s="46" t="n">
        <f aca="false">SUM(D21:U21)</f>
        <v>158595.008376709</v>
      </c>
    </row>
    <row r="22" customFormat="false" ht="15" hidden="false" customHeight="false" outlineLevel="0" collapsed="false">
      <c r="A22" s="14"/>
      <c r="B22" s="14" t="s">
        <v>824</v>
      </c>
      <c r="C22" s="14" t="s">
        <v>95</v>
      </c>
      <c r="D22" s="46" t="n">
        <f aca="false">D21-D11-D17</f>
        <v>0</v>
      </c>
      <c r="E22" s="46" t="n">
        <f aca="false">E21-E11-E17</f>
        <v>4686.26127543063</v>
      </c>
      <c r="F22" s="46" t="n">
        <f aca="false">F21-F11-F17</f>
        <v>7558.58423263509</v>
      </c>
      <c r="G22" s="46" t="n">
        <f aca="false">G21-G11-G17</f>
        <v>7867.72590288328</v>
      </c>
      <c r="H22" s="46" t="n">
        <f aca="false">H21-H11-H17</f>
        <v>7290.4347429428</v>
      </c>
      <c r="I22" s="46" t="n">
        <f aca="false">I21-I11-I17</f>
        <v>7602.29452639854</v>
      </c>
      <c r="J22" s="46" t="n">
        <f aca="false">J21-J11-J17</f>
        <v>5624.06706390916</v>
      </c>
      <c r="K22" s="46" t="n">
        <f aca="false">K21-K11-K17</f>
        <v>3152.25261376081</v>
      </c>
      <c r="L22" s="46" t="n">
        <f aca="false">L21-L11-L17</f>
        <v>3386.14745135262</v>
      </c>
      <c r="M22" s="46" t="n">
        <f aca="false">M21-M11-M17</f>
        <v>3620.04228894442</v>
      </c>
      <c r="N22" s="46" t="n">
        <f aca="false">N21-N11-N17</f>
        <v>2486.31806993246</v>
      </c>
      <c r="O22" s="46" t="n">
        <f aca="false">O21-O11-O17</f>
        <v>0</v>
      </c>
      <c r="P22" s="46" t="n">
        <f aca="false">P21-P11-P17</f>
        <v>0</v>
      </c>
      <c r="Q22" s="46" t="n">
        <f aca="false">Q21-Q11-Q17</f>
        <v>0</v>
      </c>
      <c r="R22" s="46" t="n">
        <f aca="false">R21-R11-R17</f>
        <v>0</v>
      </c>
      <c r="S22" s="46" t="n">
        <f aca="false">S21-S11-S17</f>
        <v>0</v>
      </c>
      <c r="T22" s="46" t="n">
        <f aca="false">T21-T11-T17</f>
        <v>0</v>
      </c>
      <c r="U22" s="46" t="n">
        <f aca="false">U21-U11-U17</f>
        <v>0</v>
      </c>
      <c r="V22" s="46" t="n">
        <f aca="false">SUM(D22:U22)</f>
        <v>53274.1281681898</v>
      </c>
    </row>
    <row r="23" customFormat="false" ht="15" hidden="false" customHeight="false" outlineLevel="0" collapsed="false">
      <c r="A23" s="13" t="s">
        <v>91</v>
      </c>
      <c r="B23" s="14" t="s">
        <v>825</v>
      </c>
      <c r="C23" s="14" t="s">
        <v>157</v>
      </c>
      <c r="D23" s="22" t="str">
        <f aca="false">IF(AND(D$4="运营",(D10+D19)&gt;0),(7_利润!D$12+D10+D19)/(D10+D19),"")</f>
        <v/>
      </c>
      <c r="E23" s="22" t="n">
        <f aca="false">IF(AND(E$4="运营",(E10+E19)&gt;0),(7_利润!E$12+E10+E19)/(E10+E19),"")</f>
        <v>-0.256723141111443</v>
      </c>
      <c r="F23" s="22" t="n">
        <f aca="false">IF(AND(F$4="运营",(F10+F19)&gt;0),(7_利润!F$12+F10+F19)/(F10+F19),"")</f>
        <v>0.623564006457291</v>
      </c>
      <c r="G23" s="22" t="n">
        <f aca="false">IF(AND(G$4="运营",(G10+G19)&gt;0),(7_利润!G$12+G10+G19)/(G10+G19),"")</f>
        <v>0.699375628707611</v>
      </c>
      <c r="H23" s="22" t="n">
        <f aca="false">IF(AND(H$4="运营",(H10+H19)&gt;0),(7_利润!H$12+H10+H19)/(H10+H19),"")</f>
        <v>0.398578516439905</v>
      </c>
      <c r="I23" s="22" t="n">
        <f aca="false">IF(AND(I$4="运营",(I10+I19)&gt;0),(7_利润!I$12+I10+I19)/(I10+I19),"")</f>
        <v>0.463351297414148</v>
      </c>
      <c r="J23" s="22" t="n">
        <f aca="false">IF(AND(J$4="运营",(J10+J19)&gt;0),(7_利润!J$12+J10+J19)/(J10+J19),"")</f>
        <v>11.7740816964587</v>
      </c>
      <c r="K23" s="22" t="n">
        <f aca="false">IF(AND(K$4="运营",(K10+K19)&gt;0),(7_利润!K$12+K10+K19)/(K10+K19),"")</f>
        <v>13.9223864621165</v>
      </c>
      <c r="L23" s="22" t="n">
        <f aca="false">IF(AND(L$4="运营",(L10+L19)&gt;0),(7_利润!L$12+L10+L19)/(L10+L19),"")</f>
        <v>18.3373033468984</v>
      </c>
      <c r="M23" s="22" t="n">
        <f aca="false">IF(AND(M$4="运营",(M10+M19)&gt;0),(7_利润!M$12+M10+M19)/(M10+M19),"")</f>
        <v>26.8524681348657</v>
      </c>
      <c r="N23" s="22" t="n">
        <f aca="false">IF(AND(N$4="运营",(N10+N19)&gt;0),(7_利润!N$12+N10+N19)/(N10+N19),"")</f>
        <v>50.131837465704</v>
      </c>
      <c r="O23" s="22" t="str">
        <f aca="false">IF(AND(O$4="运营",(O10+O19)&gt;0),(7_利润!O$12+O10+O19)/(O10+O19),"")</f>
        <v/>
      </c>
      <c r="P23" s="22" t="str">
        <f aca="false">IF(AND(P$4="运营",(P10+P19)&gt;0),(7_利润!P$12+P10+P19)/(P10+P19),"")</f>
        <v/>
      </c>
      <c r="Q23" s="22" t="str">
        <f aca="false">IF(AND(Q$4="运营",(Q10+Q19)&gt;0),(7_利润!Q$12+Q10+Q19)/(Q10+Q19),"")</f>
        <v/>
      </c>
      <c r="R23" s="22" t="str">
        <f aca="false">IF(AND(R$4="运营",(R10+R19)&gt;0),(7_利润!R$12+R10+R19)/(R10+R19),"")</f>
        <v/>
      </c>
      <c r="S23" s="22" t="str">
        <f aca="false">IF(AND(S$4="运营",(S10+S19)&gt;0),(7_利润!S$12+S10+S19)/(S10+S19),"")</f>
        <v/>
      </c>
      <c r="T23" s="22" t="str">
        <f aca="false">IF(AND(T$4="运营",(T10+T19)&gt;0),(7_利润!T$12+T10+T19)/(T10+T19),"")</f>
        <v/>
      </c>
      <c r="U23" s="22" t="str">
        <f aca="false">IF(AND(U$4="运营",(U10+U19)&gt;0),(7_利润!U$12+U10+U19)/(U10+U19),"")</f>
        <v/>
      </c>
      <c r="V23" s="14"/>
    </row>
    <row r="24" customFormat="false" ht="15" hidden="false" customHeight="false" outlineLevel="0" collapsed="false">
      <c r="A24" s="13" t="s">
        <v>118</v>
      </c>
      <c r="B24" s="14" t="s">
        <v>826</v>
      </c>
      <c r="C24" s="14" t="s">
        <v>157</v>
      </c>
      <c r="D24" s="22" t="str">
        <f aca="false">IF(AND(D$4="运营",(D11+D10+D19)&gt;0),(7_利润!D$12+5_折旧摊销!D$27+5_折旧摊销!D$31+D10+D19-7_利润!D$14)/(D11+D10+D19),"")</f>
        <v/>
      </c>
      <c r="E24" s="22" t="n">
        <f aca="false">IF(AND(E$4="运营",(E11+E10+E19)&gt;0),(7_利润!E$12+5_折旧摊销!E$27+5_折旧摊销!E$31+E10+E19-7_利润!E$14)/(E11+E10+E19),"")</f>
        <v>1.34622926418122</v>
      </c>
      <c r="F24" s="22" t="n">
        <f aca="false">IF(AND(F$4="运营",(F11+F10+F19)&gt;0),(7_利润!F$12+5_折旧摊销!F$27+5_折旧摊销!F$31+F10+F19-7_利润!F$14)/(F11+F10+F19),"")</f>
        <v>1.57057921484007</v>
      </c>
      <c r="G24" s="22" t="n">
        <f aca="false">IF(AND(G$4="运营",(G11+G10+G19)&gt;0),(7_利润!G$12+5_折旧摊销!G$27+5_折旧摊销!G$31+G10+G19-7_利润!G$14)/(G11+G10+G19),"")</f>
        <v>1.60810656183509</v>
      </c>
      <c r="H24" s="22" t="n">
        <f aca="false">IF(AND(H$4="运营",(H11+H10+H19)&gt;0),(7_利润!H$12+5_折旧摊销!H$27+5_折旧摊销!H$31+H10+H19-7_利润!H$14)/(H11+H10+H19),"")</f>
        <v>1.57740478035284</v>
      </c>
      <c r="I24" s="22" t="n">
        <f aca="false">IF(AND(I$4="运营",(I11+I10+I19)&gt;0),(7_利润!I$12+5_折旧摊销!I$27+5_折旧摊销!I$31+I10+I19-7_利润!I$14)/(I11+I10+I19),"")</f>
        <v>1.61735240681987</v>
      </c>
      <c r="J24" s="22" t="n">
        <f aca="false">IF(AND(J$4="运营",(J11+J10+J19)&gt;0),(7_利润!J$12+5_折旧摊销!J$27+5_折旧摊销!J$31+J10+J19-7_利润!J$14)/(J11+J10+J19),"")</f>
        <v>1.4685749596616</v>
      </c>
      <c r="K24" s="22" t="n">
        <f aca="false">IF(AND(K$4="运营",(K11+K10+K19)&gt;0),(7_利润!K$12+5_折旧摊销!K$27+5_折旧摊销!K$31+K10+K19-7_利润!K$14)/(K11+K10+K19),"")</f>
        <v>1.26963919798448</v>
      </c>
      <c r="L24" s="22" t="n">
        <f aca="false">IF(AND(L$4="运营",(L11+L10+L19)&gt;0),(7_利润!L$12+5_折旧摊销!L$27+5_折旧摊销!L$31+L10+L19-7_利润!L$14)/(L11+L10+L19),"")</f>
        <v>1.29758460859492</v>
      </c>
      <c r="M24" s="22" t="n">
        <f aca="false">IF(AND(M$4="运营",(M11+M10+M19)&gt;0),(7_利润!M$12+5_折旧摊销!M$27+5_折旧摊销!M$31+M10+M19-7_利润!M$14)/(M11+M10+M19),"")</f>
        <v>1.32710499322279</v>
      </c>
      <c r="N24" s="22" t="n">
        <f aca="false">IF(AND(N$4="运营",(N11+N10+N19)&gt;0),(7_利润!N$12+5_折旧摊销!N$27+5_折旧摊销!N$31+N10+N19-7_利润!N$14)/(N11+N10+N19),"")</f>
        <v>1.35833735846656</v>
      </c>
      <c r="O24" s="22" t="str">
        <f aca="false">IF(AND(O$4="运营",(O11+O10+O19)&gt;0),(7_利润!O$12+5_折旧摊销!O$27+5_折旧摊销!O$31+O10+O19-7_利润!O$14)/(O11+O10+O19),"")</f>
        <v/>
      </c>
      <c r="P24" s="22" t="str">
        <f aca="false">IF(AND(P$4="运营",(P11+P10+P19)&gt;0),(7_利润!P$12+5_折旧摊销!P$27+5_折旧摊销!P$31+P10+P19-7_利润!P$14)/(P11+P10+P19),"")</f>
        <v/>
      </c>
      <c r="Q24" s="22" t="str">
        <f aca="false">IF(AND(Q$4="运营",(Q11+Q10+Q19)&gt;0),(7_利润!Q$12+5_折旧摊销!Q$27+5_折旧摊销!Q$31+Q10+Q19-7_利润!Q$14)/(Q11+Q10+Q19),"")</f>
        <v/>
      </c>
      <c r="R24" s="22" t="str">
        <f aca="false">IF(AND(R$4="运营",(R11+R10+R19)&gt;0),(7_利润!R$12+5_折旧摊销!R$27+5_折旧摊销!R$31+R10+R19-7_利润!R$14)/(R11+R10+R19),"")</f>
        <v/>
      </c>
      <c r="S24" s="22" t="str">
        <f aca="false">IF(AND(S$4="运营",(S11+S10+S19)&gt;0),(7_利润!S$12+5_折旧摊销!S$27+5_折旧摊销!S$31+S10+S19-7_利润!S$14)/(S11+S10+S19),"")</f>
        <v/>
      </c>
      <c r="T24" s="22" t="str">
        <f aca="false">IF(AND(T$4="运营",(T11+T10+T19)&gt;0),(7_利润!T$12+5_折旧摊销!T$27+5_折旧摊销!T$31+T10+T19-7_利润!T$14)/(T11+T10+T19),"")</f>
        <v/>
      </c>
      <c r="U24" s="22" t="str">
        <f aca="false">IF(AND(U$4="运营",(U11+U10+U19)&gt;0),(7_利润!U$12+5_折旧摊销!U$27+5_折旧摊销!U$31+U10+U19-7_利润!U$14)/(U11+U10+U19),"")</f>
        <v/>
      </c>
      <c r="V24" s="14"/>
    </row>
    <row r="25" customFormat="false" ht="15" hidden="false" customHeight="false" outlineLevel="0" collapsed="false">
      <c r="B25" s="54" t="s">
        <v>827</v>
      </c>
      <c r="V25" s="19" t="n">
        <f aca="false">MIN(D23:U23)</f>
        <v>-0.256723141111443</v>
      </c>
    </row>
    <row r="26" customFormat="false" ht="15" hidden="false" customHeight="false" outlineLevel="0" collapsed="false">
      <c r="B26" s="54" t="s">
        <v>160</v>
      </c>
      <c r="V26" s="19" t="n">
        <f aca="false">MIN(D24:U24)</f>
        <v>1.26963919798448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12"/>
    <col collapsed="false" customWidth="true" hidden="false" outlineLevel="0" max="7" min="4" style="0" width="14"/>
    <col collapsed="false" customWidth="true" hidden="false" outlineLevel="0" max="8" min="8" style="0" width="4"/>
    <col collapsed="false" customWidth="true" hidden="false" outlineLevel="0" max="9" min="9" style="0" width="30"/>
    <col collapsed="false" customWidth="true" hidden="false" outlineLevel="0" max="10" min="10" style="0" width="14"/>
  </cols>
  <sheetData>
    <row r="1" customFormat="false" ht="21.6" hidden="false" customHeight="false" outlineLevel="0" collapsed="false">
      <c r="A1" s="6" t="s">
        <v>828</v>
      </c>
    </row>
    <row r="2" customFormat="false" ht="15" hidden="false" customHeight="false" outlineLevel="0" collapsed="false">
      <c r="A2" s="7" t="s">
        <v>829</v>
      </c>
    </row>
    <row r="4" customFormat="false" ht="15" hidden="false" customHeight="false" outlineLevel="0" collapsed="false">
      <c r="B4" s="56" t="s">
        <v>830</v>
      </c>
    </row>
    <row r="5" customFormat="false" ht="15" hidden="false" customHeight="false" outlineLevel="0" collapsed="false">
      <c r="B5" s="27" t="s">
        <v>831</v>
      </c>
      <c r="C5" s="27" t="s">
        <v>832</v>
      </c>
      <c r="E5" s="27" t="s">
        <v>26</v>
      </c>
      <c r="F5" s="27" t="s">
        <v>833</v>
      </c>
    </row>
    <row r="6" customFormat="false" ht="15" hidden="false" customHeight="false" outlineLevel="0" collapsed="false">
      <c r="B6" s="14" t="s">
        <v>834</v>
      </c>
      <c r="C6" s="36" t="n">
        <v>1</v>
      </c>
      <c r="E6" s="14" t="s">
        <v>835</v>
      </c>
      <c r="F6" s="21" t="n">
        <f aca="false">8_现金流量!$D$30</f>
        <v>0.0802554945268062</v>
      </c>
    </row>
    <row r="7" customFormat="false" ht="15" hidden="false" customHeight="false" outlineLevel="0" collapsed="false">
      <c r="B7" s="14" t="s">
        <v>836</v>
      </c>
      <c r="C7" s="36" t="n">
        <v>1</v>
      </c>
      <c r="E7" s="14" t="s">
        <v>837</v>
      </c>
      <c r="F7" s="21" t="n">
        <f aca="false">8_现金流量!$D$29</f>
        <v>0.10281066169749</v>
      </c>
    </row>
    <row r="8" customFormat="false" ht="15" hidden="false" customHeight="false" outlineLevel="0" collapsed="false">
      <c r="B8" s="14" t="s">
        <v>838</v>
      </c>
      <c r="C8" s="36" t="n">
        <v>1</v>
      </c>
      <c r="E8" s="14" t="s">
        <v>839</v>
      </c>
      <c r="F8" s="20" t="n">
        <f aca="false">8_现金流量!$D$32</f>
        <v>130.515751937298</v>
      </c>
    </row>
    <row r="9" customFormat="false" ht="15" hidden="false" customHeight="false" outlineLevel="0" collapsed="false">
      <c r="B9" s="14" t="s">
        <v>840</v>
      </c>
      <c r="C9" s="36" t="n">
        <v>1</v>
      </c>
      <c r="E9" s="14" t="s">
        <v>841</v>
      </c>
      <c r="F9" s="22" t="n">
        <f aca="false">8_现金流量!$D$36</f>
        <v>10.989015105694</v>
      </c>
    </row>
    <row r="10" customFormat="false" ht="15" hidden="false" customHeight="false" outlineLevel="0" collapsed="false">
      <c r="B10" s="14" t="s">
        <v>842</v>
      </c>
      <c r="C10" s="36" t="n">
        <v>1</v>
      </c>
      <c r="E10" s="14" t="s">
        <v>197</v>
      </c>
      <c r="F10" s="21" t="n">
        <f aca="false">0_参数!$C$14</f>
        <v>0.08</v>
      </c>
    </row>
    <row r="12" customFormat="false" ht="19.4" hidden="false" customHeight="false" outlineLevel="0" collapsed="false">
      <c r="B12" s="56" t="s">
        <v>843</v>
      </c>
    </row>
    <row r="13" customFormat="false" ht="15" hidden="false" customHeight="false" outlineLevel="0" collapsed="false">
      <c r="B13" s="10" t="s">
        <v>844</v>
      </c>
      <c r="C13" s="26"/>
      <c r="D13" s="26"/>
      <c r="E13" s="26"/>
      <c r="F13" s="26"/>
      <c r="G13" s="26"/>
    </row>
    <row r="14" customFormat="false" ht="15" hidden="false" customHeight="false" outlineLevel="0" collapsed="false">
      <c r="C14" s="27" t="s">
        <v>845</v>
      </c>
      <c r="D14" s="27" t="s">
        <v>846</v>
      </c>
      <c r="E14" s="27" t="s">
        <v>847</v>
      </c>
      <c r="F14" s="27" t="s">
        <v>848</v>
      </c>
      <c r="G14" s="27" t="s">
        <v>849</v>
      </c>
    </row>
    <row r="15" customFormat="false" ht="15" hidden="false" customHeight="false" outlineLevel="0" collapsed="false">
      <c r="B15" s="14" t="s">
        <v>850</v>
      </c>
      <c r="C15" s="62"/>
      <c r="D15" s="21" t="n">
        <f aca="false">8_现金流量!$D$30</f>
        <v>0.0802554945268062</v>
      </c>
      <c r="E15" s="21" t="n">
        <f aca="false">8_现金流量!$D$29</f>
        <v>0.10281066169749</v>
      </c>
      <c r="F15" s="20" t="n">
        <f aca="false">8_现金流量!$D$32</f>
        <v>130.515751937298</v>
      </c>
      <c r="G15" s="20" t="n">
        <f aca="false">8_现金流量!$D$31</f>
        <v>12574.9089023974</v>
      </c>
      <c r="I15" s="54" t="s">
        <v>851</v>
      </c>
      <c r="J15" s="19" t="n">
        <f aca="false">IFERROR(((D19-D17)/$F$6)/0.2,0)</f>
        <v>2.82980781901884</v>
      </c>
    </row>
    <row r="16" customFormat="false" ht="15" hidden="false" customHeight="false" outlineLevel="0" collapsed="false">
      <c r="B16" s="75" t="s">
        <v>852</v>
      </c>
      <c r="C16" s="38" t="n">
        <v>0.8</v>
      </c>
      <c r="D16" s="76">
        <f t="dataTable" ref="D16:G20" r1="C6" ca="1"/>
        <v>0.0285631773488904</v>
      </c>
      <c r="E16" s="76">
        <v>0.0481805392142284</v>
      </c>
      <c r="F16" s="46">
        <v>-25036.364773633</v>
      </c>
      <c r="G16" s="46">
        <v>-16577.7972458972</v>
      </c>
      <c r="I16" s="54" t="s">
        <v>853</v>
      </c>
      <c r="J16" s="47" t="n">
        <f aca="false">IFERROR(($F$10-$F$6)/((D19-D17)/0.2),0)</f>
        <v>-0.00112499316462243</v>
      </c>
    </row>
    <row r="17" customFormat="false" ht="15" hidden="false" customHeight="false" outlineLevel="0" collapsed="false">
      <c r="B17" s="75" t="s">
        <v>854</v>
      </c>
      <c r="C17" s="38" t="n">
        <v>0.9</v>
      </c>
      <c r="D17" s="76">
        <v>0.056017734356973</v>
      </c>
      <c r="E17" s="76">
        <v>0.0762718956177629</v>
      </c>
      <c r="F17" s="46">
        <v>-11967.3837379533</v>
      </c>
      <c r="G17" s="46">
        <v>-2001.4441717499</v>
      </c>
    </row>
    <row r="18" customFormat="false" ht="15" hidden="false" customHeight="false" outlineLevel="0" collapsed="false">
      <c r="B18" s="75" t="s">
        <v>855</v>
      </c>
      <c r="C18" s="38" t="n">
        <v>1</v>
      </c>
      <c r="D18" s="76">
        <v>0.0802554945268062</v>
      </c>
      <c r="E18" s="76">
        <v>0.10281066169749</v>
      </c>
      <c r="F18" s="46">
        <v>130.515751937298</v>
      </c>
      <c r="G18" s="46">
        <v>12574.9089023974</v>
      </c>
    </row>
    <row r="19" customFormat="false" ht="15" hidden="false" customHeight="false" outlineLevel="0" collapsed="false">
      <c r="B19" s="75" t="s">
        <v>856</v>
      </c>
      <c r="C19" s="38" t="n">
        <v>1.1</v>
      </c>
      <c r="D19" s="76">
        <v>0.101439259543209</v>
      </c>
      <c r="E19" s="76">
        <v>0.128071034397648</v>
      </c>
      <c r="F19" s="46">
        <v>11198.3598117586</v>
      </c>
      <c r="G19" s="46">
        <v>27129.7289492733</v>
      </c>
    </row>
    <row r="20" customFormat="false" ht="15" hidden="false" customHeight="false" outlineLevel="0" collapsed="false">
      <c r="B20" s="75" t="s">
        <v>857</v>
      </c>
      <c r="C20" s="38" t="n">
        <v>1.2</v>
      </c>
      <c r="D20" s="76">
        <v>0.121354644260331</v>
      </c>
      <c r="E20" s="76">
        <v>0.152251839845396</v>
      </c>
      <c r="F20" s="46">
        <v>22053.3932818942</v>
      </c>
      <c r="G20" s="46">
        <v>41631.1578160806</v>
      </c>
    </row>
    <row r="23" customFormat="false" ht="15" hidden="false" customHeight="false" outlineLevel="0" collapsed="false">
      <c r="B23" s="10" t="s">
        <v>858</v>
      </c>
      <c r="C23" s="26"/>
      <c r="D23" s="26"/>
      <c r="E23" s="26"/>
      <c r="F23" s="26"/>
      <c r="G23" s="26"/>
    </row>
    <row r="24" customFormat="false" ht="15" hidden="false" customHeight="false" outlineLevel="0" collapsed="false">
      <c r="C24" s="27" t="s">
        <v>845</v>
      </c>
      <c r="D24" s="27" t="s">
        <v>846</v>
      </c>
      <c r="E24" s="27" t="s">
        <v>847</v>
      </c>
      <c r="F24" s="27" t="s">
        <v>848</v>
      </c>
      <c r="G24" s="27" t="s">
        <v>849</v>
      </c>
    </row>
    <row r="25" customFormat="false" ht="15" hidden="false" customHeight="false" outlineLevel="0" collapsed="false">
      <c r="B25" s="14" t="s">
        <v>850</v>
      </c>
      <c r="C25" s="62"/>
      <c r="D25" s="21" t="n">
        <f aca="false">8_现金流量!$D$30</f>
        <v>0.0802554945268062</v>
      </c>
      <c r="E25" s="21" t="n">
        <f aca="false">8_现金流量!$D$29</f>
        <v>0.10281066169749</v>
      </c>
      <c r="F25" s="20" t="n">
        <f aca="false">8_现金流量!$D$32</f>
        <v>130.515751937298</v>
      </c>
      <c r="G25" s="20" t="n">
        <f aca="false">8_现金流量!$D$31</f>
        <v>12574.9089023974</v>
      </c>
      <c r="I25" s="54" t="s">
        <v>851</v>
      </c>
      <c r="J25" s="19" t="n">
        <f aca="false">IFERROR(((D29-D27)/$F$6)/0.2,0)</f>
        <v>2.74325194338256</v>
      </c>
    </row>
    <row r="26" customFormat="false" ht="15" hidden="false" customHeight="false" outlineLevel="0" collapsed="false">
      <c r="B26" s="75" t="s">
        <v>852</v>
      </c>
      <c r="C26" s="38" t="n">
        <v>0.8</v>
      </c>
      <c r="D26" s="76">
        <f t="dataTable" ref="D26:G30" r1="C7" ca="1"/>
        <v>0.0302225509589907</v>
      </c>
      <c r="E26" s="76">
        <v>0.0498875174461262</v>
      </c>
      <c r="F26" s="46">
        <v>-24263.322682969</v>
      </c>
      <c r="G26" s="46">
        <v>-15716.1631851612</v>
      </c>
      <c r="I26" s="54" t="s">
        <v>853</v>
      </c>
      <c r="J26" s="47" t="n">
        <f aca="false">IFERROR(($F$10-$F$6)/((D29-D27)/0.2),0)</f>
        <v>-0.00116048927305812</v>
      </c>
    </row>
    <row r="27" customFormat="false" ht="15" hidden="false" customHeight="false" outlineLevel="0" collapsed="false">
      <c r="B27" s="75" t="s">
        <v>854</v>
      </c>
      <c r="C27" s="38" t="n">
        <v>0.9</v>
      </c>
      <c r="D27" s="76">
        <v>0.0568069727020451</v>
      </c>
      <c r="E27" s="76">
        <v>0.0770766457963831</v>
      </c>
      <c r="F27" s="46">
        <v>-11580.8626926213</v>
      </c>
      <c r="G27" s="46">
        <v>-1570.6271413819</v>
      </c>
    </row>
    <row r="28" customFormat="false" ht="15" hidden="false" customHeight="false" outlineLevel="0" collapsed="false">
      <c r="B28" s="75" t="s">
        <v>855</v>
      </c>
      <c r="C28" s="38" t="n">
        <v>1</v>
      </c>
      <c r="D28" s="76">
        <v>0.0802554945268062</v>
      </c>
      <c r="E28" s="76">
        <v>0.10281066169749</v>
      </c>
      <c r="F28" s="46">
        <v>130.515751937298</v>
      </c>
      <c r="G28" s="46">
        <v>12574.9089023974</v>
      </c>
    </row>
    <row r="29" customFormat="false" ht="15" hidden="false" customHeight="false" outlineLevel="0" collapsed="false">
      <c r="B29" s="75" t="s">
        <v>856</v>
      </c>
      <c r="C29" s="38" t="n">
        <v>1.1</v>
      </c>
      <c r="D29" s="76">
        <v>0.100839180967603</v>
      </c>
      <c r="E29" s="76">
        <v>0.12734310867325</v>
      </c>
      <c r="F29" s="46">
        <v>10878.7414273029</v>
      </c>
      <c r="G29" s="46">
        <v>26703.5711033324</v>
      </c>
    </row>
    <row r="30" customFormat="false" ht="15" hidden="false" customHeight="false" outlineLevel="0" collapsed="false">
      <c r="B30" s="75" t="s">
        <v>857</v>
      </c>
      <c r="C30" s="38" t="n">
        <v>1.2</v>
      </c>
      <c r="D30" s="76">
        <v>0.10540361800199</v>
      </c>
      <c r="E30" s="76">
        <v>0.13315428553363</v>
      </c>
      <c r="F30" s="46">
        <v>13217.0708333353</v>
      </c>
      <c r="G30" s="46">
        <v>29827.8005652796</v>
      </c>
    </row>
    <row r="33" customFormat="false" ht="15" hidden="false" customHeight="false" outlineLevel="0" collapsed="false">
      <c r="B33" s="10" t="s">
        <v>859</v>
      </c>
      <c r="C33" s="26"/>
      <c r="D33" s="26"/>
      <c r="E33" s="26"/>
      <c r="F33" s="26"/>
      <c r="G33" s="26"/>
    </row>
    <row r="34" customFormat="false" ht="15" hidden="false" customHeight="false" outlineLevel="0" collapsed="false">
      <c r="C34" s="27" t="s">
        <v>845</v>
      </c>
      <c r="D34" s="27" t="s">
        <v>846</v>
      </c>
      <c r="E34" s="27" t="s">
        <v>847</v>
      </c>
      <c r="F34" s="27" t="s">
        <v>848</v>
      </c>
      <c r="G34" s="27" t="s">
        <v>849</v>
      </c>
    </row>
    <row r="35" customFormat="false" ht="15" hidden="false" customHeight="false" outlineLevel="0" collapsed="false">
      <c r="B35" s="14" t="s">
        <v>850</v>
      </c>
      <c r="C35" s="62"/>
      <c r="D35" s="21" t="n">
        <f aca="false">8_现金流量!$D$30</f>
        <v>0.0802554945268062</v>
      </c>
      <c r="E35" s="21" t="n">
        <f aca="false">8_现金流量!$D$29</f>
        <v>0.10281066169749</v>
      </c>
      <c r="F35" s="20" t="n">
        <f aca="false">8_现金流量!$D$32</f>
        <v>130.515751937298</v>
      </c>
      <c r="G35" s="20" t="n">
        <f aca="false">8_现金流量!$D$31</f>
        <v>12574.9089023974</v>
      </c>
      <c r="I35" s="54" t="s">
        <v>851</v>
      </c>
      <c r="J35" s="19" t="n">
        <f aca="false">IFERROR(((D39-D37)/$F$6)/0.2,0)</f>
        <v>-0.0831861983675027</v>
      </c>
    </row>
    <row r="36" customFormat="false" ht="15" hidden="false" customHeight="false" outlineLevel="0" collapsed="false">
      <c r="B36" s="75" t="s">
        <v>852</v>
      </c>
      <c r="C36" s="38" t="n">
        <v>0.8</v>
      </c>
      <c r="D36" s="76">
        <f t="dataTable" ref="D36:G40" r1="C8" ca="1"/>
        <v>0.0815891146560841</v>
      </c>
      <c r="E36" s="76">
        <v>0.104361087881957</v>
      </c>
      <c r="F36" s="46">
        <v>812.756083177768</v>
      </c>
      <c r="G36" s="46">
        <v>13448.2470077682</v>
      </c>
      <c r="I36" s="54" t="s">
        <v>853</v>
      </c>
      <c r="J36" s="47" t="n">
        <f aca="false">IFERROR(($F$10-$F$6)/((D39-D37)/0.2),0)</f>
        <v>0.0382697432514834</v>
      </c>
    </row>
    <row r="37" customFormat="false" ht="15" hidden="false" customHeight="false" outlineLevel="0" collapsed="false">
      <c r="B37" s="75" t="s">
        <v>854</v>
      </c>
      <c r="C37" s="38" t="n">
        <v>0.9</v>
      </c>
      <c r="D37" s="76">
        <v>0.0809227058863661</v>
      </c>
      <c r="E37" s="76">
        <v>0.103586390259243</v>
      </c>
      <c r="F37" s="46">
        <v>471.635917557528</v>
      </c>
      <c r="G37" s="46">
        <v>13011.5779550828</v>
      </c>
    </row>
    <row r="38" customFormat="false" ht="15" hidden="false" customHeight="false" outlineLevel="0" collapsed="false">
      <c r="B38" s="75" t="s">
        <v>855</v>
      </c>
      <c r="C38" s="38" t="n">
        <v>1</v>
      </c>
      <c r="D38" s="76">
        <v>0.0802554945268062</v>
      </c>
      <c r="E38" s="76">
        <v>0.10281066169749</v>
      </c>
      <c r="F38" s="46">
        <v>130.515751937298</v>
      </c>
      <c r="G38" s="46">
        <v>12574.9089023974</v>
      </c>
    </row>
    <row r="39" customFormat="false" ht="15" hidden="false" customHeight="false" outlineLevel="0" collapsed="false">
      <c r="B39" s="75" t="s">
        <v>856</v>
      </c>
      <c r="C39" s="38" t="n">
        <v>1.1</v>
      </c>
      <c r="D39" s="76">
        <v>0.0795874759888083</v>
      </c>
      <c r="E39" s="76">
        <v>0.102033895912689</v>
      </c>
      <c r="F39" s="46">
        <v>-210.604413682937</v>
      </c>
      <c r="G39" s="46">
        <v>12138.239849712</v>
      </c>
    </row>
    <row r="40" customFormat="false" ht="15" hidden="false" customHeight="false" outlineLevel="0" collapsed="false">
      <c r="B40" s="75" t="s">
        <v>857</v>
      </c>
      <c r="C40" s="38" t="n">
        <v>1.2</v>
      </c>
      <c r="D40" s="76">
        <v>0.0789186456481221</v>
      </c>
      <c r="E40" s="76">
        <v>0.101256086567257</v>
      </c>
      <c r="F40" s="46">
        <v>-551.72457930317</v>
      </c>
      <c r="G40" s="46">
        <v>11701.5707970266</v>
      </c>
    </row>
    <row r="43" customFormat="false" ht="15" hidden="false" customHeight="false" outlineLevel="0" collapsed="false">
      <c r="B43" s="10" t="s">
        <v>860</v>
      </c>
      <c r="C43" s="26"/>
      <c r="D43" s="26"/>
      <c r="E43" s="26"/>
      <c r="F43" s="26"/>
      <c r="G43" s="26"/>
    </row>
    <row r="44" customFormat="false" ht="15" hidden="false" customHeight="false" outlineLevel="0" collapsed="false">
      <c r="C44" s="27" t="s">
        <v>845</v>
      </c>
      <c r="D44" s="27" t="s">
        <v>846</v>
      </c>
      <c r="E44" s="27" t="s">
        <v>847</v>
      </c>
      <c r="F44" s="27" t="s">
        <v>848</v>
      </c>
      <c r="G44" s="27" t="s">
        <v>849</v>
      </c>
    </row>
    <row r="45" customFormat="false" ht="15" hidden="false" customHeight="false" outlineLevel="0" collapsed="false">
      <c r="B45" s="14" t="s">
        <v>850</v>
      </c>
      <c r="C45" s="62"/>
      <c r="D45" s="21" t="n">
        <f aca="false">8_现金流量!$D$30</f>
        <v>0.0802554945268062</v>
      </c>
      <c r="E45" s="21" t="n">
        <f aca="false">8_现金流量!$D$29</f>
        <v>0.10281066169749</v>
      </c>
      <c r="F45" s="20" t="n">
        <f aca="false">8_现金流量!$D$32</f>
        <v>130.515751937298</v>
      </c>
      <c r="G45" s="20" t="n">
        <f aca="false">8_现金流量!$D$31</f>
        <v>12574.9089023974</v>
      </c>
      <c r="I45" s="54" t="s">
        <v>851</v>
      </c>
      <c r="J45" s="19" t="n">
        <f aca="false">IFERROR(((D49-D47)/$F$6)/0.2,0)</f>
        <v>-2.17306083093965</v>
      </c>
    </row>
    <row r="46" customFormat="false" ht="15" hidden="false" customHeight="false" outlineLevel="0" collapsed="false">
      <c r="B46" s="75" t="s">
        <v>852</v>
      </c>
      <c r="C46" s="38" t="n">
        <v>0.8</v>
      </c>
      <c r="D46" s="76">
        <f t="dataTable" ref="D46:G50" r1="C9" ca="1"/>
        <v>0.118407232161276</v>
      </c>
      <c r="E46" s="76">
        <v>0.149036007590547</v>
      </c>
      <c r="F46" s="46">
        <v>17071.6039539565</v>
      </c>
      <c r="G46" s="46">
        <v>33084.2200112356</v>
      </c>
      <c r="I46" s="54" t="s">
        <v>853</v>
      </c>
      <c r="J46" s="47" t="n">
        <f aca="false">IFERROR(($F$10-$F$6)/((D49-D47)/0.2),0)</f>
        <v>0.00146499095113445</v>
      </c>
    </row>
    <row r="47" customFormat="false" ht="15" hidden="false" customHeight="false" outlineLevel="0" collapsed="false">
      <c r="B47" s="75" t="s">
        <v>854</v>
      </c>
      <c r="C47" s="38" t="n">
        <v>0.9</v>
      </c>
      <c r="D47" s="76">
        <v>0.0982181645094405</v>
      </c>
      <c r="E47" s="76">
        <v>0.124306470211691</v>
      </c>
      <c r="F47" s="46">
        <v>8707.09150231807</v>
      </c>
      <c r="G47" s="46">
        <v>22855.7457645185</v>
      </c>
    </row>
    <row r="48" customFormat="false" ht="15" hidden="false" customHeight="false" outlineLevel="0" collapsed="false">
      <c r="B48" s="75" t="s">
        <v>855</v>
      </c>
      <c r="C48" s="38" t="n">
        <v>1</v>
      </c>
      <c r="D48" s="76">
        <v>0.0802554945268062</v>
      </c>
      <c r="E48" s="76">
        <v>0.10281066169749</v>
      </c>
      <c r="F48" s="46">
        <v>130.515751937298</v>
      </c>
      <c r="G48" s="46">
        <v>12574.9089023974</v>
      </c>
    </row>
    <row r="49" customFormat="false" ht="15" hidden="false" customHeight="false" outlineLevel="0" collapsed="false">
      <c r="B49" s="75" t="s">
        <v>856</v>
      </c>
      <c r="C49" s="38" t="n">
        <v>1.1</v>
      </c>
      <c r="D49" s="76">
        <v>0.0633381501846617</v>
      </c>
      <c r="E49" s="76">
        <v>0.0839010921023258</v>
      </c>
      <c r="F49" s="46">
        <v>-9053.69755427702</v>
      </c>
      <c r="G49" s="46">
        <v>2285.20478902903</v>
      </c>
    </row>
    <row r="50" customFormat="false" ht="15" hidden="false" customHeight="false" outlineLevel="0" collapsed="false">
      <c r="B50" s="75" t="s">
        <v>857</v>
      </c>
      <c r="C50" s="38" t="n">
        <v>1.2</v>
      </c>
      <c r="D50" s="76">
        <v>0.0466464929057716</v>
      </c>
      <c r="E50" s="76">
        <v>0.0670798772739551</v>
      </c>
      <c r="F50" s="46">
        <v>-19208.9323387195</v>
      </c>
      <c r="G50" s="46">
        <v>-8004.45154742771</v>
      </c>
    </row>
    <row r="53" customFormat="false" ht="15" hidden="false" customHeight="false" outlineLevel="0" collapsed="false">
      <c r="B53" s="10" t="s">
        <v>861</v>
      </c>
      <c r="C53" s="26"/>
      <c r="D53" s="26"/>
      <c r="E53" s="26"/>
      <c r="F53" s="26"/>
      <c r="G53" s="26"/>
    </row>
    <row r="54" customFormat="false" ht="15" hidden="false" customHeight="false" outlineLevel="0" collapsed="false">
      <c r="C54" s="27" t="s">
        <v>845</v>
      </c>
      <c r="D54" s="27" t="s">
        <v>846</v>
      </c>
      <c r="E54" s="27" t="s">
        <v>847</v>
      </c>
      <c r="F54" s="27" t="s">
        <v>848</v>
      </c>
      <c r="G54" s="27" t="s">
        <v>849</v>
      </c>
    </row>
    <row r="55" customFormat="false" ht="15" hidden="false" customHeight="false" outlineLevel="0" collapsed="false">
      <c r="B55" s="14" t="s">
        <v>850</v>
      </c>
      <c r="C55" s="62"/>
      <c r="D55" s="21" t="n">
        <f aca="false">8_现金流量!$D$30</f>
        <v>0.0802554945268062</v>
      </c>
      <c r="E55" s="21" t="n">
        <f aca="false">8_现金流量!$D$29</f>
        <v>0.10281066169749</v>
      </c>
      <c r="F55" s="20" t="n">
        <f aca="false">8_现金流量!$D$32</f>
        <v>130.515751937298</v>
      </c>
      <c r="G55" s="20" t="n">
        <f aca="false">8_现金流量!$D$31</f>
        <v>12574.9089023974</v>
      </c>
      <c r="I55" s="54" t="s">
        <v>851</v>
      </c>
      <c r="J55" s="19" t="n">
        <f aca="false">IFERROR(((D59-D57)/$F$6)/0.2,0)</f>
        <v>-0.269865151562514</v>
      </c>
    </row>
    <row r="56" customFormat="false" ht="15" hidden="false" customHeight="false" outlineLevel="0" collapsed="false">
      <c r="B56" s="75" t="s">
        <v>852</v>
      </c>
      <c r="C56" s="38" t="n">
        <v>0.8</v>
      </c>
      <c r="D56" s="76">
        <f t="dataTable" ref="D56:G60" r1="C10" ca="1"/>
        <v>0.0846934059597098</v>
      </c>
      <c r="E56" s="76">
        <v>0.107913725285738</v>
      </c>
      <c r="F56" s="46">
        <v>2339.80153188343</v>
      </c>
      <c r="G56" s="46">
        <v>15046.247111045</v>
      </c>
      <c r="I56" s="54" t="s">
        <v>853</v>
      </c>
      <c r="J56" s="47" t="n">
        <f aca="false">IFERROR(($F$10-$F$6)/((D59-D57)/0.2),0)</f>
        <v>0.0117966859935742</v>
      </c>
    </row>
    <row r="57" customFormat="false" ht="15" hidden="false" customHeight="false" outlineLevel="0" collapsed="false">
      <c r="B57" s="75" t="s">
        <v>854</v>
      </c>
      <c r="C57" s="38" t="n">
        <v>0.9</v>
      </c>
      <c r="D57" s="76">
        <v>0.082447410831485</v>
      </c>
      <c r="E57" s="76">
        <v>0.105333529828751</v>
      </c>
      <c r="F57" s="46">
        <v>1235.16073653575</v>
      </c>
      <c r="G57" s="46">
        <v>13810.5813296999</v>
      </c>
    </row>
    <row r="58" customFormat="false" ht="15" hidden="false" customHeight="false" outlineLevel="0" collapsed="false">
      <c r="B58" s="75" t="s">
        <v>855</v>
      </c>
      <c r="C58" s="38" t="n">
        <v>1</v>
      </c>
      <c r="D58" s="76">
        <v>0.0802554945268062</v>
      </c>
      <c r="E58" s="76">
        <v>0.10281066169749</v>
      </c>
      <c r="F58" s="46">
        <v>130.515751937298</v>
      </c>
      <c r="G58" s="46">
        <v>12574.9089023974</v>
      </c>
    </row>
    <row r="59" customFormat="false" ht="15" hidden="false" customHeight="false" outlineLevel="0" collapsed="false">
      <c r="B59" s="75" t="s">
        <v>856</v>
      </c>
      <c r="C59" s="38" t="n">
        <v>1.1</v>
      </c>
      <c r="D59" s="76">
        <v>0.0781157785926448</v>
      </c>
      <c r="E59" s="76">
        <v>0.100343223595852</v>
      </c>
      <c r="F59" s="46">
        <v>-974.133271400548</v>
      </c>
      <c r="G59" s="46">
        <v>11339.2300679133</v>
      </c>
    </row>
    <row r="60" customFormat="false" ht="15" hidden="false" customHeight="false" outlineLevel="0" collapsed="false">
      <c r="B60" s="75" t="s">
        <v>857</v>
      </c>
      <c r="C60" s="38" t="n">
        <v>1.2</v>
      </c>
      <c r="D60" s="76">
        <v>0.0760264693421304</v>
      </c>
      <c r="E60" s="76">
        <v>0.097929402177841</v>
      </c>
      <c r="F60" s="46">
        <v>-2078.78619009124</v>
      </c>
      <c r="G60" s="46">
        <v>10103.5450537205</v>
      </c>
    </row>
    <row r="63" customFormat="false" ht="15" hidden="false" customHeight="false" outlineLevel="0" collapsed="false">
      <c r="B63" s="43" t="s">
        <v>862</v>
      </c>
    </row>
    <row r="64" customFormat="false" ht="15" hidden="false" customHeight="false" outlineLevel="0" collapsed="false">
      <c r="B64" s="43" t="s">
        <v>863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60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50"/>
  </cols>
  <sheetData>
    <row r="1" customFormat="false" ht="21.6" hidden="false" customHeight="false" outlineLevel="0" collapsed="false">
      <c r="A1" s="6" t="s">
        <v>864</v>
      </c>
    </row>
    <row r="2" customFormat="false" ht="15" hidden="false" customHeight="false" outlineLevel="0" collapsed="false">
      <c r="A2" s="7" t="s">
        <v>865</v>
      </c>
    </row>
    <row r="4" customFormat="false" ht="15" hidden="false" customHeight="false" outlineLevel="0" collapsed="false">
      <c r="A4" s="8" t="s">
        <v>171</v>
      </c>
      <c r="B4" s="8" t="s">
        <v>866</v>
      </c>
      <c r="C4" s="8" t="s">
        <v>867</v>
      </c>
      <c r="D4" s="8" t="s">
        <v>868</v>
      </c>
      <c r="E4" s="8" t="s">
        <v>441</v>
      </c>
    </row>
    <row r="5" customFormat="false" ht="15" hidden="false" customHeight="false" outlineLevel="0" collapsed="false">
      <c r="A5" s="13" t="s">
        <v>228</v>
      </c>
      <c r="B5" s="16" t="s">
        <v>869</v>
      </c>
      <c r="C5" s="68" t="n">
        <f aca="false">0_参数!$C$11+0_参数!$C$12+0_参数!$C$13</f>
        <v>1</v>
      </c>
      <c r="D5" s="77" t="str">
        <f aca="false">IF(ABS(C5-1)&lt;0.0001,"OK","ERR")</f>
        <v>OK</v>
      </c>
      <c r="E5" s="16" t="s">
        <v>870</v>
      </c>
    </row>
    <row r="6" customFormat="false" ht="15" hidden="false" customHeight="false" outlineLevel="0" collapsed="false">
      <c r="A6" s="13" t="s">
        <v>230</v>
      </c>
      <c r="B6" s="16" t="s">
        <v>871</v>
      </c>
      <c r="C6" s="78" t="b">
        <f aca="false">AND(0_参数!$C$9&lt;=3,0_参数!$C$9&gt;=1,0_参数!$C$10&lt;=15,0_参数!$C$15&lt;=0_参数!$C$10,0_参数!$C$91&lt;=0_参数!$C$10)</f>
        <v>1</v>
      </c>
      <c r="D6" s="77" t="str">
        <f aca="false">IF(C6,"OK","ERR")</f>
        <v>OK</v>
      </c>
      <c r="E6" s="16" t="s">
        <v>872</v>
      </c>
    </row>
    <row r="7" customFormat="false" ht="15" hidden="false" customHeight="false" outlineLevel="0" collapsed="false">
      <c r="A7" s="13" t="s">
        <v>232</v>
      </c>
      <c r="B7" s="16" t="s">
        <v>873</v>
      </c>
      <c r="C7" s="78" t="b">
        <f aca="false">AND('1-2_设备及软件'!$D$6=0_参数!$C$23,'1-2_设备及软件'!$D$15=0_参数!$C$18)</f>
        <v>1</v>
      </c>
      <c r="D7" s="77" t="str">
        <f aca="false">IF(C7,"OK","ERR")</f>
        <v>OK</v>
      </c>
      <c r="E7" s="16" t="s">
        <v>874</v>
      </c>
    </row>
    <row r="8" customFormat="false" ht="15" hidden="false" customHeight="false" outlineLevel="0" collapsed="false">
      <c r="A8" s="13" t="s">
        <v>235</v>
      </c>
      <c r="B8" s="16" t="s">
        <v>875</v>
      </c>
      <c r="C8" s="20" t="n">
        <f aca="false">3_资金筹措!$V$8-1_总投资估算!$G$29</f>
        <v>0</v>
      </c>
      <c r="D8" s="77" t="str">
        <f aca="false">IF(ABS(C8)&lt;0.01,"OK","ERR")</f>
        <v>OK</v>
      </c>
      <c r="E8" s="16"/>
    </row>
    <row r="9" customFormat="false" ht="15" hidden="false" customHeight="false" outlineLevel="0" collapsed="false">
      <c r="A9" s="13" t="s">
        <v>237</v>
      </c>
      <c r="B9" s="16" t="s">
        <v>876</v>
      </c>
      <c r="C9" s="20" t="n">
        <f aca="false">SUMPRODUCT(ABS(3_资金筹措!D21:U21))</f>
        <v>0</v>
      </c>
      <c r="D9" s="77" t="str">
        <f aca="false">IF(ABS(C9)&lt;0.01,"OK","ERR")</f>
        <v>OK</v>
      </c>
      <c r="E9" s="16"/>
    </row>
    <row r="10" customFormat="false" ht="15" hidden="false" customHeight="false" outlineLevel="0" collapsed="false">
      <c r="A10" s="13" t="s">
        <v>240</v>
      </c>
      <c r="B10" s="16" t="s">
        <v>877</v>
      </c>
      <c r="C10" s="20" t="n">
        <f aca="false">SUMPRODUCT(ABS(10_资产负债!D25:U25))</f>
        <v>0</v>
      </c>
      <c r="D10" s="77" t="str">
        <f aca="false">IF(ABS(C10)&lt;0.5,"OK","ERR")</f>
        <v>OK</v>
      </c>
      <c r="E10" s="16" t="s">
        <v>878</v>
      </c>
    </row>
    <row r="11" customFormat="false" ht="15" hidden="false" customHeight="false" outlineLevel="0" collapsed="false">
      <c r="A11" s="13" t="s">
        <v>242</v>
      </c>
      <c r="B11" s="16" t="s">
        <v>879</v>
      </c>
      <c r="C11" s="20" t="n">
        <f aca="false">MIN(9_财务计划现金流量!D32:U32)</f>
        <v>0</v>
      </c>
      <c r="D11" s="77" t="str">
        <f aca="false">IF(C11&gt;=-0.01,"OK","ERR")</f>
        <v>OK</v>
      </c>
      <c r="E11" s="31" t="s">
        <v>880</v>
      </c>
    </row>
    <row r="12" customFormat="false" ht="15" hidden="false" customHeight="false" outlineLevel="0" collapsed="false">
      <c r="A12" s="13" t="s">
        <v>244</v>
      </c>
      <c r="B12" s="16" t="s">
        <v>881</v>
      </c>
      <c r="C12" s="78" t="b">
        <f aca="false">AND(SUMPRODUCT(--(0_参数!$E$126:$R$126&lt;0_参数!$D$126:$Q$126))=0,MAX(0_参数!$D$126:$R$126)&lt;=1,MAX(0_参数!$D$127:$R$127)&lt;=1)</f>
        <v>1</v>
      </c>
      <c r="D12" s="77" t="str">
        <f aca="false">IF(C12,"OK","ERR")</f>
        <v>OK</v>
      </c>
      <c r="E12" s="16" t="s">
        <v>882</v>
      </c>
    </row>
    <row r="13" customFormat="false" ht="15" hidden="false" customHeight="false" outlineLevel="0" collapsed="false">
      <c r="A13" s="13" t="s">
        <v>247</v>
      </c>
      <c r="B13" s="16" t="s">
        <v>883</v>
      </c>
      <c r="C13" s="20" t="n">
        <f aca="false">11_还本付息!$V$12</f>
        <v>0</v>
      </c>
      <c r="D13" s="77" t="str">
        <f aca="false">IF(ABS(C13)&lt;0.01,"OK","ERR")</f>
        <v>OK</v>
      </c>
      <c r="E13" s="16" t="s">
        <v>884</v>
      </c>
    </row>
    <row r="14" customFormat="false" ht="15" hidden="false" customHeight="false" outlineLevel="0" collapsed="false">
      <c r="A14" s="13" t="s">
        <v>250</v>
      </c>
      <c r="B14" s="16" t="s">
        <v>885</v>
      </c>
      <c r="C14" s="23" t="str">
        <f aca="false">0_参数!$C$7</f>
        <v>人民币（含税）</v>
      </c>
      <c r="D14" s="77" t="str">
        <f aca="false">IF(C14="人民币（含税）","OK","ERR")</f>
        <v>OK</v>
      </c>
      <c r="E14" s="16" t="s">
        <v>886</v>
      </c>
    </row>
    <row r="15" customFormat="false" ht="15" hidden="false" customHeight="false" outlineLevel="0" collapsed="false">
      <c r="A15" s="13" t="s">
        <v>254</v>
      </c>
      <c r="B15" s="16" t="s">
        <v>887</v>
      </c>
      <c r="C15" s="18" t="n">
        <f aca="false">0_参数!$C$29</f>
        <v>1.18</v>
      </c>
      <c r="D15" s="77" t="str">
        <f aca="false">IF(AND(C15&gt;=1,C15&lt;=1.25),"OK","ERR")</f>
        <v>OK</v>
      </c>
      <c r="E15" s="16" t="s">
        <v>888</v>
      </c>
    </row>
    <row r="16" customFormat="false" ht="15" hidden="false" customHeight="false" outlineLevel="0" collapsed="false">
      <c r="A16" s="13" t="s">
        <v>256</v>
      </c>
      <c r="B16" s="16" t="s">
        <v>889</v>
      </c>
      <c r="C16" s="15" t="n">
        <f aca="false">COUNTBLANK('1-2_设备及软件'!$E$6:$E$11)+COUNTBLANK('1-2_设备及软件'!$E$15:$E$21)</f>
        <v>0</v>
      </c>
      <c r="D16" s="77" t="str">
        <f aca="false">IF(C16=0,"OK","ERR")</f>
        <v>OK</v>
      </c>
      <c r="E16" s="16"/>
    </row>
    <row r="17" customFormat="false" ht="15" hidden="false" customHeight="false" outlineLevel="0" collapsed="false">
      <c r="A17" s="13" t="s">
        <v>259</v>
      </c>
      <c r="B17" s="16" t="s">
        <v>890</v>
      </c>
      <c r="C17" s="21" t="n">
        <f aca="false">8_现金流量!$D$30-0_参数!$C$14</f>
        <v>0.000255494526806205</v>
      </c>
      <c r="D17" s="77" t="str">
        <f aca="false">IF(C17&gt;=0,"OK","WARN")</f>
        <v>OK</v>
      </c>
      <c r="E17" s="31" t="s">
        <v>891</v>
      </c>
    </row>
    <row r="18" customFormat="false" ht="15" hidden="false" customHeight="false" outlineLevel="0" collapsed="false">
      <c r="A18" s="13" t="s">
        <v>892</v>
      </c>
      <c r="B18" s="16" t="s">
        <v>893</v>
      </c>
      <c r="C18" s="20" t="n">
        <f aca="false">8_现金流量!$V$12-1_总投资估算!$G$29</f>
        <v>0</v>
      </c>
      <c r="D18" s="77" t="str">
        <f aca="false">IF(ABS(C18)&lt;0.01,"OK","ERR")</f>
        <v>OK</v>
      </c>
      <c r="E18" s="16"/>
    </row>
    <row r="19" customFormat="false" ht="29.85" hidden="false" customHeight="false" outlineLevel="0" collapsed="false">
      <c r="A19" s="13" t="s">
        <v>894</v>
      </c>
      <c r="B19" s="16" t="s">
        <v>895</v>
      </c>
      <c r="C19" s="20" t="n">
        <f aca="false">5_折旧摊销!$V$27-5_折旧摊销!$C$15*(1-0_参数!$C$75)</f>
        <v>-5665.59709628946</v>
      </c>
      <c r="D19" s="77" t="str">
        <f aca="false">IF(C19&lt;=0.01,"OK","ERR")</f>
        <v>OK</v>
      </c>
      <c r="E19" s="16" t="s">
        <v>896</v>
      </c>
    </row>
    <row r="21" customFormat="false" ht="15" hidden="false" customHeight="false" outlineLevel="0" collapsed="false">
      <c r="B21" s="59" t="s">
        <v>897</v>
      </c>
      <c r="C21" s="79" t="n">
        <f aca="false">COUNTIF(D5:D19,"ERR")</f>
        <v>0</v>
      </c>
    </row>
    <row r="22" customFormat="false" ht="15" hidden="false" customHeight="false" outlineLevel="0" collapsed="false">
      <c r="B22" s="59" t="s">
        <v>898</v>
      </c>
      <c r="C22" s="80" t="n">
        <f aca="false">COUNTIF(D5:D19,"WARN")</f>
        <v>0</v>
      </c>
    </row>
    <row r="23" customFormat="false" ht="15" hidden="false" customHeight="false" outlineLevel="0" collapsed="false">
      <c r="B23" s="54" t="s">
        <v>899</v>
      </c>
      <c r="C23" s="50" t="str">
        <f aca="false">IF(C21=0,"可出稿","不得出稿")</f>
        <v>可出稿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2026-09-16T13:00:58Z</dcterms:created>
  <dc:creator>openpyxl</dc:creator>
  <dc:description/>
  <dc:language>en-US</dc:language>
  <cp:lastModifiedBy/>
  <dcterms:modified xsi:type="dcterms:W3CDTF">2026-09-16T13:00:58Z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